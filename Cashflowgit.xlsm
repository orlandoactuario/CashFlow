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lando\Documents\CashFlow\"/>
    </mc:Choice>
  </mc:AlternateContent>
  <xr:revisionPtr revIDLastSave="0" documentId="13_ncr:1_{521CF513-562B-473B-A865-6A1B27722D7C}" xr6:coauthVersionLast="45" xr6:coauthVersionMax="45" xr10:uidLastSave="{00000000-0000-0000-0000-000000000000}"/>
  <bookViews>
    <workbookView xWindow="-108" yWindow="-108" windowWidth="23256" windowHeight="12576" xr2:uid="{70F51E8D-D613-4299-A149-0957B5A1E5E4}"/>
  </bookViews>
  <sheets>
    <sheet name="Fin" sheetId="1" r:id="rId1"/>
    <sheet name="Gastos" sheetId="3" state="hidden" r:id="rId2"/>
    <sheet name="Ingresos" sheetId="4" state="hidden" r:id="rId3"/>
    <sheet name="Configuracion" sheetId="5" state="hidden" r:id="rId4"/>
    <sheet name="Desplegables" sheetId="6" state="hidden" r:id="rId5"/>
    <sheet name="Gráficos" sheetId="7" state="hidden" r:id="rId6"/>
  </sheets>
  <functionGroups builtInGroupCount="19"/>
  <definedNames>
    <definedName name="_xlnm._FilterDatabase" localSheetId="1" hidden="1">Gastos!$A$2:$G$2</definedName>
    <definedName name="_xlnm._FilterDatabase" localSheetId="2" hidden="1">Ingresos!$A$2:$G$2</definedName>
    <definedName name="catgastos">Configuracion!$H$3:$H$10</definedName>
    <definedName name="color">Desplegables!$L$2:$N$11</definedName>
    <definedName name="desplcatgast">Desplegables!$M$2:$M$11</definedName>
    <definedName name="desplcol">Desplegables!$L$2:$L$11</definedName>
    <definedName name="desplcolasign">Desplegables!$N$2:$N$11</definedName>
    <definedName name="fijogasto">Configuracion!$A$14:$A$23</definedName>
    <definedName name="fijoingre">Configuracion!$A$3:$A$12</definedName>
    <definedName name="Table">Gráficos!$C$14</definedName>
    <definedName name="Temp">Desplegables!$D$2:$D$4</definedName>
    <definedName name="Temporalidad">Desplegables!$D$2:$D$4</definedName>
    <definedName name="tipo">Desplegables!$F$2:$F$5</definedName>
  </definedNames>
  <calcPr calcId="191029"/>
  <pivotCaches>
    <pivotCache cacheId="0" r:id="rId7"/>
    <pivotCache cacheId="43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" i="1" l="1"/>
  <c r="D14" i="1"/>
  <c r="D15" i="1"/>
  <c r="D16" i="1"/>
  <c r="D12" i="1"/>
  <c r="C13" i="1"/>
  <c r="C14" i="1"/>
  <c r="C15" i="1"/>
  <c r="C16" i="1"/>
  <c r="C12" i="1"/>
  <c r="B13" i="1"/>
  <c r="B14" i="1"/>
  <c r="B15" i="1"/>
  <c r="B16" i="1"/>
  <c r="B12" i="1"/>
  <c r="C3" i="1" l="1"/>
  <c r="B13" i="6"/>
  <c r="B12" i="6"/>
  <c r="B11" i="6"/>
  <c r="B10" i="6"/>
  <c r="B9" i="6"/>
  <c r="B8" i="6"/>
  <c r="B7" i="6"/>
  <c r="B6" i="6"/>
  <c r="B5" i="6"/>
  <c r="B4" i="6"/>
  <c r="B3" i="6"/>
  <c r="B2" i="6"/>
  <c r="A1" i="1" l="1"/>
  <c r="B2" i="1" l="1"/>
  <c r="A3" i="1" l="1"/>
  <c r="C3" i="6" l="1"/>
  <c r="C4" i="6" s="1"/>
  <c r="C5" i="6" s="1"/>
  <c r="C6" i="6" s="1"/>
  <c r="C7" i="6" s="1"/>
  <c r="C8" i="6" s="1"/>
  <c r="C9" i="6" s="1"/>
  <c r="C10" i="6" s="1"/>
  <c r="C11" i="6" s="1"/>
  <c r="C12" i="6" s="1"/>
  <c r="C13" i="6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C14" i="6" l="1"/>
  <c r="C15" i="6" s="1"/>
  <c r="C16" i="6" s="1"/>
</calcChain>
</file>

<file path=xl/sharedStrings.xml><?xml version="1.0" encoding="utf-8"?>
<sst xmlns="http://schemas.openxmlformats.org/spreadsheetml/2006/main" count="115" uniqueCount="71">
  <si>
    <t>Categoria</t>
  </si>
  <si>
    <t>Fecha</t>
  </si>
  <si>
    <t xml:space="preserve">  GASTO</t>
  </si>
  <si>
    <t>-</t>
  </si>
  <si>
    <t>Concepto</t>
  </si>
  <si>
    <t>CATEGORIAS</t>
  </si>
  <si>
    <t>Detalle</t>
  </si>
  <si>
    <t xml:space="preserve">GASTOS </t>
  </si>
  <si>
    <t>Mes</t>
  </si>
  <si>
    <t>Importe</t>
  </si>
  <si>
    <t>Movimientos fijos</t>
  </si>
  <si>
    <t>Balance</t>
  </si>
  <si>
    <t>Quincenal</t>
  </si>
  <si>
    <t>Personalizado</t>
  </si>
  <si>
    <t>Mensual</t>
  </si>
  <si>
    <t>Añadir Movimiento</t>
  </si>
  <si>
    <t>General</t>
  </si>
  <si>
    <t>Ajuste</t>
  </si>
  <si>
    <t>Fijos</t>
  </si>
  <si>
    <t>Fijos 2</t>
  </si>
  <si>
    <t>01/01/1900 IDENTIFICADOR</t>
  </si>
  <si>
    <t>01/01/1900 ID</t>
  </si>
  <si>
    <t>Periodicidad</t>
  </si>
  <si>
    <t>Tipo</t>
  </si>
  <si>
    <t>GASTOS</t>
  </si>
  <si>
    <t>INGRESOS</t>
  </si>
  <si>
    <t>Gastos</t>
  </si>
  <si>
    <t>VISTA</t>
  </si>
  <si>
    <t>CONFIGURACION</t>
  </si>
  <si>
    <t>Regresar</t>
  </si>
  <si>
    <t>REGRESAR</t>
  </si>
  <si>
    <r>
      <t xml:space="preserve">     </t>
    </r>
    <r>
      <rPr>
        <b/>
        <sz val="12"/>
        <color rgb="FF22AE29"/>
        <rFont val="Bahnschrift SemiCondensed"/>
        <family val="2"/>
      </rPr>
      <t xml:space="preserve"> INGRESO</t>
    </r>
  </si>
  <si>
    <t>Suma de Importe</t>
  </si>
  <si>
    <t>Etiquetas de fila</t>
  </si>
  <si>
    <t>Total general</t>
  </si>
  <si>
    <t>GRÁFICAS</t>
  </si>
  <si>
    <t>TipoGrafico</t>
  </si>
  <si>
    <t>Circular</t>
  </si>
  <si>
    <t>Graficar por</t>
  </si>
  <si>
    <t>Barras</t>
  </si>
  <si>
    <t>Campos</t>
  </si>
  <si>
    <t>Linea</t>
  </si>
  <si>
    <t>Dona</t>
  </si>
  <si>
    <t>Fijo</t>
  </si>
  <si>
    <t>Varios</t>
  </si>
  <si>
    <t>Ultimos Movimientos</t>
  </si>
  <si>
    <t>Ultimos movimientos</t>
  </si>
  <si>
    <t>Movimiento</t>
  </si>
  <si>
    <t>Colores</t>
  </si>
  <si>
    <t>Crema</t>
  </si>
  <si>
    <t>Amarillo</t>
  </si>
  <si>
    <t>Pistache</t>
  </si>
  <si>
    <t>Violeta</t>
  </si>
  <si>
    <t>Salmon</t>
  </si>
  <si>
    <t>Rosa</t>
  </si>
  <si>
    <t>Gris</t>
  </si>
  <si>
    <t>Verde</t>
  </si>
  <si>
    <t>Azul</t>
  </si>
  <si>
    <t>Neutro</t>
  </si>
  <si>
    <t>Colores Asignados</t>
  </si>
  <si>
    <t>Último reporte generado:</t>
  </si>
  <si>
    <t>Mes-Año</t>
  </si>
  <si>
    <t>Sep-20</t>
  </si>
  <si>
    <t>CUENTA</t>
  </si>
  <si>
    <t>Ingresos</t>
  </si>
  <si>
    <t>Liberar Espacio</t>
  </si>
  <si>
    <t>Reiniciar cuenta</t>
  </si>
  <si>
    <t>Ingreso Fijo</t>
  </si>
  <si>
    <t>Fin de período</t>
  </si>
  <si>
    <t>Gasto Fijo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</si>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</sst>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#,##0.00;[Red]#,##0.00"/>
    <numFmt numFmtId="165" formatCode="&quot;$&quot;#,##0.00"/>
    <numFmt numFmtId="166" formatCode="&quot;$&quot;\ #,##0.00"/>
  </numFmts>
  <fonts count="5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itka Display"/>
    </font>
    <font>
      <b/>
      <sz val="24"/>
      <color theme="0"/>
      <name val="Calisto MT"/>
      <family val="1"/>
    </font>
    <font>
      <b/>
      <sz val="15"/>
      <color rgb="FFC00000"/>
      <name val="Calisto MT"/>
      <family val="1"/>
    </font>
    <font>
      <b/>
      <sz val="15"/>
      <color rgb="FF22AE29"/>
      <name val="Calisto MT"/>
      <family val="1"/>
    </font>
    <font>
      <b/>
      <sz val="11"/>
      <color theme="0"/>
      <name val="Calibri"/>
      <family val="2"/>
      <scheme val="minor"/>
    </font>
    <font>
      <b/>
      <sz val="24"/>
      <color rgb="FFFF0000"/>
      <name val="Calisto MT"/>
      <family val="1"/>
    </font>
    <font>
      <sz val="11"/>
      <color theme="1"/>
      <name val="Bell MT"/>
      <family val="1"/>
    </font>
    <font>
      <sz val="11"/>
      <color theme="1"/>
      <name val="Calisto MT"/>
      <family val="1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Bahnschrift SemiCondensed"/>
      <family val="2"/>
    </font>
    <font>
      <b/>
      <sz val="11"/>
      <name val="Sitka Banner"/>
    </font>
    <font>
      <b/>
      <sz val="15"/>
      <color theme="0"/>
      <name val="Bahnschrift SemiBold Condensed"/>
      <family val="2"/>
    </font>
    <font>
      <sz val="10"/>
      <color theme="1"/>
      <name val="Bahnschrift SemiCondensed"/>
      <family val="2"/>
    </font>
    <font>
      <b/>
      <sz val="14"/>
      <color theme="0"/>
      <name val="Bahnschrift SemiCondensed"/>
      <family val="2"/>
    </font>
    <font>
      <b/>
      <sz val="16"/>
      <name val="Bahnschrift SemiCondensed"/>
      <family val="2"/>
    </font>
    <font>
      <sz val="11"/>
      <color theme="0"/>
      <name val="Bahnschrift SemiCondensed"/>
      <family val="2"/>
    </font>
    <font>
      <b/>
      <sz val="16"/>
      <color theme="0"/>
      <name val="Bell MT"/>
      <family val="1"/>
    </font>
    <font>
      <b/>
      <sz val="12"/>
      <color rgb="FF4E0EC2"/>
      <name val="Bahnschrift SemiCondensed"/>
      <family val="2"/>
    </font>
    <font>
      <b/>
      <sz val="12"/>
      <color rgb="FF22AE29"/>
      <name val="Bahnschrift SemiCondensed"/>
      <family val="2"/>
    </font>
    <font>
      <b/>
      <sz val="10"/>
      <color theme="1"/>
      <name val="Bahnschrift SemiCondensed"/>
      <family val="2"/>
    </font>
    <font>
      <b/>
      <sz val="12"/>
      <color rgb="FFC00000"/>
      <name val="Bahnschrift SemiCondensed"/>
      <family val="2"/>
    </font>
    <font>
      <b/>
      <sz val="10"/>
      <name val="Bahnschrift SemiCondensed"/>
      <family val="2"/>
    </font>
    <font>
      <b/>
      <sz val="13"/>
      <name val="Bahnschrift SemiCondensed"/>
      <family val="2"/>
    </font>
    <font>
      <b/>
      <sz val="20"/>
      <name val="Bahnschrift SemiCondensed"/>
      <family val="2"/>
    </font>
    <font>
      <b/>
      <sz val="11"/>
      <name val="Bahnschrift SemiCondensed"/>
      <family val="2"/>
    </font>
    <font>
      <b/>
      <sz val="22"/>
      <color theme="3" tint="0.39997558519241921"/>
      <name val="Bahnschrift SemiCondensed"/>
      <family val="2"/>
    </font>
    <font>
      <b/>
      <sz val="24"/>
      <name val="Calisto MT"/>
      <family val="1"/>
    </font>
    <font>
      <sz val="12"/>
      <color theme="3" tint="0.39997558519241921"/>
      <name val="Bahnschrift SemiCondensed"/>
      <family val="2"/>
    </font>
    <font>
      <sz val="12"/>
      <color theme="0"/>
      <name val="Bahnschrift SemiCondensed"/>
      <family val="2"/>
    </font>
    <font>
      <sz val="11"/>
      <name val="Bahnschrift SemiCondensed"/>
      <family val="2"/>
    </font>
    <font>
      <b/>
      <sz val="15"/>
      <color theme="4" tint="0.59999389629810485"/>
      <name val="Bahnschrift SemiCondensed"/>
      <family val="2"/>
    </font>
    <font>
      <b/>
      <sz val="16"/>
      <color theme="4" tint="0.59999389629810485"/>
      <name val="Bahnschrift SemiCondensed"/>
      <family val="2"/>
    </font>
    <font>
      <sz val="14"/>
      <color theme="4" tint="0.59999389629810485"/>
      <name val="Shruti"/>
      <family val="2"/>
    </font>
    <font>
      <b/>
      <sz val="11"/>
      <color theme="4" tint="0.59999389629810485"/>
      <name val="Bahnschrift SemiCondensed"/>
      <family val="2"/>
    </font>
    <font>
      <b/>
      <sz val="12"/>
      <color theme="4" tint="0.59999389629810485"/>
      <name val="Bahnschrift SemiCondensed"/>
      <family val="2"/>
    </font>
    <font>
      <sz val="11"/>
      <color theme="4" tint="0.59999389629810485"/>
      <name val="Calibri"/>
      <family val="2"/>
      <scheme val="minor"/>
    </font>
    <font>
      <sz val="11"/>
      <color theme="4" tint="0.59999389629810485"/>
      <name val="Bell MT"/>
      <family val="1"/>
    </font>
    <font>
      <b/>
      <sz val="13"/>
      <color theme="1"/>
      <name val="Bahnschrift SemiCondensed"/>
      <family val="2"/>
    </font>
    <font>
      <b/>
      <sz val="11"/>
      <color theme="0"/>
      <name val="Bahnschrift SemiCondensed"/>
      <family val="2"/>
    </font>
    <font>
      <sz val="11"/>
      <color theme="1"/>
      <name val="Calibri Light"/>
      <family val="2"/>
      <scheme val="major"/>
    </font>
    <font>
      <sz val="11"/>
      <name val="Bahnschrift SemiBold SemiConden"/>
      <family val="2"/>
    </font>
    <font>
      <b/>
      <sz val="11"/>
      <name val="Bahnschrift SemiBold SemiConden"/>
      <family val="2"/>
    </font>
    <font>
      <sz val="11"/>
      <color theme="1"/>
      <name val="Bahnschrift SemiBold SemiConden"/>
      <family val="2"/>
    </font>
    <font>
      <sz val="10"/>
      <color theme="1"/>
      <name val="Arial Nova Cond Light"/>
      <family val="2"/>
    </font>
    <font>
      <sz val="10"/>
      <name val="Bahnschrift SemiBold SemiConden"/>
      <family val="2"/>
    </font>
    <font>
      <sz val="10"/>
      <name val="Bahnschrift Light"/>
      <family val="2"/>
    </font>
    <font>
      <sz val="10"/>
      <color theme="1"/>
      <name val="Bahnschrift Light"/>
      <family val="2"/>
    </font>
    <font>
      <b/>
      <sz val="10"/>
      <color theme="3" tint="0.39997558519241921"/>
      <name val="Bahnschrift SemiCondensed"/>
      <family val="2"/>
    </font>
    <font>
      <sz val="11"/>
      <color theme="4" tint="0.59999389629810485"/>
      <name val="Bahnschrift SemiCondensed"/>
      <family val="2"/>
    </font>
    <font>
      <sz val="11"/>
      <name val="Bell MT"/>
      <family val="1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0E3BF"/>
        <bgColor indexed="64"/>
      </patternFill>
    </fill>
    <fill>
      <patternFill patternType="solid">
        <fgColor rgb="FFF8CBAD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1">
    <xf numFmtId="0" fontId="0" fillId="0" borderId="0" xfId="0"/>
    <xf numFmtId="14" fontId="0" fillId="0" borderId="0" xfId="0" applyNumberFormat="1"/>
    <xf numFmtId="14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/>
    <xf numFmtId="0" fontId="9" fillId="0" borderId="0" xfId="0" applyFont="1"/>
    <xf numFmtId="44" fontId="10" fillId="0" borderId="0" xfId="0" applyNumberFormat="1" applyFont="1"/>
    <xf numFmtId="0" fontId="2" fillId="5" borderId="0" xfId="0" applyFont="1" applyFill="1" applyBorder="1"/>
    <xf numFmtId="0" fontId="9" fillId="0" borderId="1" xfId="0" applyFont="1" applyBorder="1"/>
    <xf numFmtId="0" fontId="9" fillId="0" borderId="2" xfId="0" applyFont="1" applyBorder="1"/>
    <xf numFmtId="0" fontId="9" fillId="0" borderId="6" xfId="0" applyFont="1" applyBorder="1"/>
    <xf numFmtId="44" fontId="10" fillId="0" borderId="0" xfId="0" applyNumberFormat="1" applyFont="1" applyBorder="1"/>
    <xf numFmtId="0" fontId="9" fillId="0" borderId="8" xfId="0" applyFont="1" applyBorder="1"/>
    <xf numFmtId="0" fontId="9" fillId="0" borderId="3" xfId="0" applyFont="1" applyBorder="1"/>
    <xf numFmtId="44" fontId="10" fillId="0" borderId="7" xfId="0" applyNumberFormat="1" applyFont="1" applyBorder="1"/>
    <xf numFmtId="0" fontId="9" fillId="0" borderId="4" xfId="0" applyFont="1" applyBorder="1"/>
    <xf numFmtId="0" fontId="7" fillId="5" borderId="5" xfId="0" applyFont="1" applyFill="1" applyBorder="1"/>
    <xf numFmtId="0" fontId="7" fillId="5" borderId="2" xfId="0" applyFont="1" applyFill="1" applyBorder="1"/>
    <xf numFmtId="0" fontId="9" fillId="0" borderId="0" xfId="0" applyFont="1" applyBorder="1"/>
    <xf numFmtId="0" fontId="9" fillId="0" borderId="7" xfId="0" applyFont="1" applyBorder="1"/>
    <xf numFmtId="0" fontId="9" fillId="0" borderId="5" xfId="0" applyFont="1" applyBorder="1"/>
    <xf numFmtId="0" fontId="9" fillId="3" borderId="9" xfId="0" applyFont="1" applyFill="1" applyBorder="1"/>
    <xf numFmtId="0" fontId="9" fillId="3" borderId="10" xfId="0" applyFont="1" applyFill="1" applyBorder="1"/>
    <xf numFmtId="0" fontId="9" fillId="3" borderId="11" xfId="0" applyFont="1" applyFill="1" applyBorder="1"/>
    <xf numFmtId="0" fontId="9" fillId="4" borderId="9" xfId="0" applyFont="1" applyFill="1" applyBorder="1"/>
    <xf numFmtId="44" fontId="10" fillId="4" borderId="10" xfId="0" applyNumberFormat="1" applyFont="1" applyFill="1" applyBorder="1"/>
    <xf numFmtId="0" fontId="9" fillId="4" borderId="10" xfId="0" applyFont="1" applyFill="1" applyBorder="1"/>
    <xf numFmtId="0" fontId="9" fillId="4" borderId="11" xfId="0" applyFont="1" applyFill="1" applyBorder="1"/>
    <xf numFmtId="44" fontId="7" fillId="5" borderId="5" xfId="0" applyNumberFormat="1" applyFont="1" applyFill="1" applyBorder="1"/>
    <xf numFmtId="44" fontId="9" fillId="3" borderId="10" xfId="0" applyNumberFormat="1" applyFont="1" applyFill="1" applyBorder="1"/>
    <xf numFmtId="0" fontId="9" fillId="0" borderId="5" xfId="0" applyFont="1" applyBorder="1" applyAlignment="1">
      <alignment horizontal="center"/>
    </xf>
    <xf numFmtId="0" fontId="16" fillId="0" borderId="6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7" fillId="5" borderId="12" xfId="0" applyFont="1" applyFill="1" applyBorder="1"/>
    <xf numFmtId="0" fontId="20" fillId="5" borderId="0" xfId="0" applyFont="1" applyFill="1" applyBorder="1" applyAlignment="1">
      <alignment vertical="center"/>
    </xf>
    <xf numFmtId="44" fontId="6" fillId="2" borderId="0" xfId="0" applyNumberFormat="1" applyFont="1" applyFill="1" applyBorder="1"/>
    <xf numFmtId="0" fontId="0" fillId="5" borderId="0" xfId="0" applyFill="1"/>
    <xf numFmtId="0" fontId="19" fillId="5" borderId="0" xfId="0" applyFont="1" applyFill="1"/>
    <xf numFmtId="0" fontId="13" fillId="5" borderId="0" xfId="0" applyFont="1" applyFill="1"/>
    <xf numFmtId="0" fontId="21" fillId="2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14" fontId="16" fillId="2" borderId="0" xfId="0" applyNumberFormat="1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left" vertical="top"/>
    </xf>
    <xf numFmtId="44" fontId="13" fillId="4" borderId="0" xfId="0" applyNumberFormat="1" applyFont="1" applyFill="1" applyBorder="1"/>
    <xf numFmtId="0" fontId="13" fillId="4" borderId="0" xfId="0" applyFont="1" applyFill="1" applyBorder="1"/>
    <xf numFmtId="0" fontId="13" fillId="4" borderId="0" xfId="0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44" fontId="5" fillId="2" borderId="0" xfId="0" applyNumberFormat="1" applyFont="1" applyFill="1" applyBorder="1" applyAlignment="1">
      <alignment vertical="center"/>
    </xf>
    <xf numFmtId="44" fontId="13" fillId="6" borderId="0" xfId="0" applyNumberFormat="1" applyFont="1" applyFill="1" applyBorder="1"/>
    <xf numFmtId="0" fontId="13" fillId="6" borderId="0" xfId="0" applyFont="1" applyFill="1" applyBorder="1"/>
    <xf numFmtId="0" fontId="14" fillId="3" borderId="0" xfId="0" applyFont="1" applyFill="1" applyBorder="1" applyAlignment="1">
      <alignment horizontal="center"/>
    </xf>
    <xf numFmtId="14" fontId="14" fillId="3" borderId="0" xfId="0" applyNumberFormat="1" applyFont="1" applyFill="1" applyBorder="1" applyAlignment="1">
      <alignment horizontal="center"/>
    </xf>
    <xf numFmtId="0" fontId="14" fillId="3" borderId="0" xfId="0" applyNumberFormat="1" applyFont="1" applyFill="1" applyBorder="1" applyAlignment="1">
      <alignment horizontal="center"/>
    </xf>
    <xf numFmtId="14" fontId="13" fillId="6" borderId="0" xfId="0" applyNumberFormat="1" applyFont="1" applyFill="1" applyBorder="1"/>
    <xf numFmtId="0" fontId="13" fillId="6" borderId="0" xfId="0" applyFont="1" applyFill="1"/>
    <xf numFmtId="0" fontId="0" fillId="4" borderId="0" xfId="0" applyFill="1"/>
    <xf numFmtId="0" fontId="14" fillId="3" borderId="6" xfId="0" applyFont="1" applyFill="1" applyBorder="1" applyAlignment="1">
      <alignment horizontal="center"/>
    </xf>
    <xf numFmtId="0" fontId="19" fillId="5" borderId="0" xfId="0" applyFont="1" applyFill="1" applyBorder="1"/>
    <xf numFmtId="0" fontId="2" fillId="8" borderId="0" xfId="0" applyFont="1" applyFill="1" applyBorder="1"/>
    <xf numFmtId="0" fontId="3" fillId="8" borderId="6" xfId="0" applyFont="1" applyFill="1" applyBorder="1"/>
    <xf numFmtId="0" fontId="0" fillId="8" borderId="0" xfId="0" applyFill="1" applyBorder="1"/>
    <xf numFmtId="0" fontId="0" fillId="8" borderId="6" xfId="0" applyFill="1" applyBorder="1"/>
    <xf numFmtId="0" fontId="18" fillId="8" borderId="1" xfId="0" applyFont="1" applyFill="1" applyBorder="1"/>
    <xf numFmtId="0" fontId="11" fillId="8" borderId="0" xfId="0" applyFont="1" applyFill="1" applyBorder="1"/>
    <xf numFmtId="0" fontId="26" fillId="8" borderId="0" xfId="0" applyFont="1" applyFill="1" applyBorder="1" applyAlignment="1">
      <alignment horizontal="center"/>
    </xf>
    <xf numFmtId="44" fontId="4" fillId="8" borderId="6" xfId="1" applyFont="1" applyFill="1" applyBorder="1" applyAlignment="1">
      <alignment horizontal="center"/>
    </xf>
    <xf numFmtId="44" fontId="4" fillId="8" borderId="0" xfId="1" applyFont="1" applyFill="1" applyBorder="1" applyAlignment="1">
      <alignment horizontal="center"/>
    </xf>
    <xf numFmtId="0" fontId="28" fillId="8" borderId="0" xfId="0" applyFont="1" applyFill="1" applyBorder="1" applyAlignment="1">
      <alignment vertical="center"/>
    </xf>
    <xf numFmtId="0" fontId="11" fillId="8" borderId="0" xfId="0" applyFont="1" applyFill="1" applyBorder="1" applyAlignment="1">
      <alignment vertical="center"/>
    </xf>
    <xf numFmtId="0" fontId="31" fillId="5" borderId="0" xfId="0" applyFont="1" applyFill="1" applyBorder="1" applyAlignment="1">
      <alignment horizontal="right"/>
    </xf>
    <xf numFmtId="0" fontId="32" fillId="5" borderId="0" xfId="0" applyFont="1" applyFill="1" applyBorder="1"/>
    <xf numFmtId="0" fontId="33" fillId="5" borderId="0" xfId="0" applyFont="1" applyFill="1" applyBorder="1"/>
    <xf numFmtId="0" fontId="34" fillId="5" borderId="0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4" fillId="5" borderId="0" xfId="0" applyFont="1" applyFill="1" applyBorder="1" applyAlignment="1">
      <alignment horizontal="left" vertical="center"/>
    </xf>
    <xf numFmtId="14" fontId="36" fillId="5" borderId="0" xfId="0" applyNumberFormat="1" applyFont="1" applyFill="1" applyBorder="1" applyAlignment="1">
      <alignment horizontal="center" vertical="center"/>
    </xf>
    <xf numFmtId="0" fontId="37" fillId="5" borderId="1" xfId="0" applyFont="1" applyFill="1" applyBorder="1" applyAlignment="1">
      <alignment horizontal="center" vertical="center"/>
    </xf>
    <xf numFmtId="0" fontId="38" fillId="5" borderId="5" xfId="0" applyFont="1" applyFill="1" applyBorder="1" applyAlignment="1">
      <alignment horizontal="center" vertical="center"/>
    </xf>
    <xf numFmtId="0" fontId="38" fillId="5" borderId="2" xfId="0" applyFont="1" applyFill="1" applyBorder="1" applyAlignment="1">
      <alignment horizontal="center" vertical="center"/>
    </xf>
    <xf numFmtId="14" fontId="39" fillId="9" borderId="0" xfId="0" applyNumberFormat="1" applyFont="1" applyFill="1"/>
    <xf numFmtId="0" fontId="40" fillId="9" borderId="0" xfId="0" applyFont="1" applyFill="1"/>
    <xf numFmtId="0" fontId="39" fillId="9" borderId="0" xfId="0" applyFont="1" applyFill="1"/>
    <xf numFmtId="1" fontId="40" fillId="9" borderId="0" xfId="0" applyNumberFormat="1" applyFont="1" applyFill="1" applyBorder="1"/>
    <xf numFmtId="0" fontId="40" fillId="9" borderId="0" xfId="0" applyFont="1" applyFill="1" applyBorder="1"/>
    <xf numFmtId="0" fontId="0" fillId="9" borderId="0" xfId="0" applyFill="1"/>
    <xf numFmtId="0" fontId="9" fillId="9" borderId="0" xfId="0" applyFont="1" applyFill="1"/>
    <xf numFmtId="44" fontId="10" fillId="9" borderId="0" xfId="0" applyNumberFormat="1" applyFont="1" applyFill="1"/>
    <xf numFmtId="1" fontId="40" fillId="10" borderId="0" xfId="0" applyNumberFormat="1" applyFont="1" applyFill="1" applyBorder="1"/>
    <xf numFmtId="0" fontId="41" fillId="8" borderId="6" xfId="0" applyFont="1" applyFill="1" applyBorder="1"/>
    <xf numFmtId="0" fontId="0" fillId="8" borderId="0" xfId="0" applyFill="1"/>
    <xf numFmtId="0" fontId="41" fillId="8" borderId="0" xfId="0" applyFont="1" applyFill="1" applyBorder="1"/>
    <xf numFmtId="0" fontId="42" fillId="5" borderId="0" xfId="0" applyFont="1" applyFill="1" applyBorder="1"/>
    <xf numFmtId="7" fontId="0" fillId="0" borderId="0" xfId="0" applyNumberFormat="1"/>
    <xf numFmtId="0" fontId="33" fillId="11" borderId="0" xfId="0" applyFont="1" applyFill="1" applyBorder="1"/>
    <xf numFmtId="164" fontId="33" fillId="11" borderId="0" xfId="0" applyNumberFormat="1" applyFont="1" applyFill="1" applyBorder="1"/>
    <xf numFmtId="14" fontId="33" fillId="11" borderId="0" xfId="0" applyNumberFormat="1" applyFont="1" applyFill="1" applyBorder="1"/>
    <xf numFmtId="14" fontId="11" fillId="8" borderId="0" xfId="0" applyNumberFormat="1" applyFont="1" applyFill="1" applyBorder="1"/>
    <xf numFmtId="14" fontId="25" fillId="8" borderId="0" xfId="0" applyNumberFormat="1" applyFont="1" applyFill="1" applyBorder="1" applyAlignment="1">
      <alignment horizontal="center"/>
    </xf>
    <xf numFmtId="0" fontId="43" fillId="4" borderId="0" xfId="0" applyFont="1" applyFill="1" applyBorder="1"/>
    <xf numFmtId="44" fontId="44" fillId="7" borderId="0" xfId="0" applyNumberFormat="1" applyFont="1" applyFill="1" applyBorder="1" applyAlignment="1">
      <alignment horizontal="center"/>
    </xf>
    <xf numFmtId="0" fontId="45" fillId="7" borderId="0" xfId="0" applyFont="1" applyFill="1" applyBorder="1" applyAlignment="1">
      <alignment horizontal="center"/>
    </xf>
    <xf numFmtId="0" fontId="45" fillId="7" borderId="0" xfId="0" applyNumberFormat="1" applyFont="1" applyFill="1" applyBorder="1" applyAlignment="1">
      <alignment horizontal="center"/>
    </xf>
    <xf numFmtId="0" fontId="46" fillId="5" borderId="0" xfId="0" applyFont="1" applyFill="1"/>
    <xf numFmtId="0" fontId="46" fillId="0" borderId="0" xfId="0" applyFont="1"/>
    <xf numFmtId="14" fontId="47" fillId="4" borderId="6" xfId="0" applyNumberFormat="1" applyFont="1" applyFill="1" applyBorder="1"/>
    <xf numFmtId="14" fontId="48" fillId="7" borderId="0" xfId="0" applyNumberFormat="1" applyFont="1" applyFill="1" applyBorder="1" applyAlignment="1">
      <alignment horizontal="center"/>
    </xf>
    <xf numFmtId="0" fontId="33" fillId="4" borderId="0" xfId="0" applyFont="1" applyFill="1" applyBorder="1" applyAlignment="1">
      <alignment horizontal="center"/>
    </xf>
    <xf numFmtId="0" fontId="11" fillId="0" borderId="0" xfId="0" applyFont="1"/>
    <xf numFmtId="0" fontId="0" fillId="0" borderId="0" xfId="0" applyNumberFormat="1" applyFill="1"/>
    <xf numFmtId="0" fontId="0" fillId="0" borderId="6" xfId="0" applyBorder="1"/>
    <xf numFmtId="0" fontId="0" fillId="0" borderId="0" xfId="0" applyNumberFormat="1" applyFill="1" applyBorder="1"/>
    <xf numFmtId="0" fontId="0" fillId="0" borderId="8" xfId="0" applyBorder="1"/>
    <xf numFmtId="0" fontId="0" fillId="0" borderId="3" xfId="0" applyBorder="1"/>
    <xf numFmtId="0" fontId="0" fillId="0" borderId="7" xfId="0" applyNumberFormat="1" applyFill="1" applyBorder="1"/>
    <xf numFmtId="0" fontId="0" fillId="0" borderId="4" xfId="0" applyBorder="1"/>
    <xf numFmtId="0" fontId="33" fillId="12" borderId="0" xfId="0" applyFont="1" applyFill="1" applyBorder="1" applyAlignment="1">
      <alignment horizontal="center"/>
    </xf>
    <xf numFmtId="0" fontId="29" fillId="5" borderId="0" xfId="0" applyFont="1" applyFill="1" applyBorder="1" applyAlignment="1"/>
    <xf numFmtId="0" fontId="2" fillId="5" borderId="0" xfId="0" applyFont="1" applyFill="1" applyBorder="1" applyAlignment="1"/>
    <xf numFmtId="49" fontId="51" fillId="5" borderId="0" xfId="0" applyNumberFormat="1" applyFont="1" applyFill="1" applyBorder="1" applyAlignment="1">
      <alignment horizontal="center"/>
    </xf>
    <xf numFmtId="0" fontId="11" fillId="9" borderId="0" xfId="0" applyFont="1" applyFill="1"/>
    <xf numFmtId="0" fontId="52" fillId="5" borderId="0" xfId="0" applyFont="1" applyFill="1"/>
    <xf numFmtId="0" fontId="52" fillId="5" borderId="1" xfId="0" applyFont="1" applyFill="1" applyBorder="1"/>
    <xf numFmtId="0" fontId="52" fillId="5" borderId="5" xfId="0" applyNumberFormat="1" applyFont="1" applyFill="1" applyBorder="1"/>
    <xf numFmtId="0" fontId="52" fillId="5" borderId="2" xfId="0" applyFont="1" applyFill="1" applyBorder="1"/>
    <xf numFmtId="0" fontId="16" fillId="0" borderId="6" xfId="0" applyFont="1" applyFill="1" applyBorder="1" applyAlignment="1">
      <alignment horizontal="center" vertical="center"/>
    </xf>
    <xf numFmtId="0" fontId="11" fillId="0" borderId="8" xfId="0" applyFont="1" applyFill="1" applyBorder="1"/>
    <xf numFmtId="0" fontId="16" fillId="0" borderId="3" xfId="0" applyFont="1" applyFill="1" applyBorder="1" applyAlignment="1">
      <alignment horizontal="center" vertical="center"/>
    </xf>
    <xf numFmtId="0" fontId="11" fillId="0" borderId="4" xfId="0" applyFont="1" applyFill="1" applyBorder="1"/>
    <xf numFmtId="0" fontId="0" fillId="0" borderId="1" xfId="0" applyBorder="1"/>
    <xf numFmtId="0" fontId="0" fillId="0" borderId="5" xfId="0" applyNumberFormat="1" applyFill="1" applyBorder="1"/>
    <xf numFmtId="0" fontId="0" fillId="0" borderId="2" xfId="0" applyBorder="1"/>
    <xf numFmtId="0" fontId="16" fillId="9" borderId="0" xfId="0" applyFont="1" applyFill="1" applyBorder="1" applyAlignment="1">
      <alignment horizontal="center" vertical="center"/>
    </xf>
    <xf numFmtId="1" fontId="53" fillId="10" borderId="0" xfId="0" applyNumberFormat="1" applyFont="1" applyFill="1" applyBorder="1"/>
    <xf numFmtId="0" fontId="16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9" fillId="4" borderId="13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23" fillId="2" borderId="12" xfId="0" applyFont="1" applyFill="1" applyBorder="1" applyAlignment="1">
      <alignment horizontal="center" vertical="center"/>
    </xf>
    <xf numFmtId="0" fontId="25" fillId="12" borderId="12" xfId="0" applyFont="1" applyFill="1" applyBorder="1" applyAlignment="1">
      <alignment horizontal="center" vertical="center"/>
    </xf>
    <xf numFmtId="165" fontId="10" fillId="0" borderId="5" xfId="0" applyNumberFormat="1" applyFont="1" applyBorder="1"/>
    <xf numFmtId="166" fontId="10" fillId="0" borderId="0" xfId="0" applyNumberFormat="1" applyFont="1" applyBorder="1"/>
    <xf numFmtId="8" fontId="10" fillId="0" borderId="0" xfId="0" applyNumberFormat="1" applyFont="1" applyBorder="1"/>
    <xf numFmtId="8" fontId="10" fillId="0" borderId="5" xfId="0" applyNumberFormat="1" applyFont="1" applyBorder="1"/>
    <xf numFmtId="0" fontId="52" fillId="13" borderId="0" xfId="0" applyFont="1" applyFill="1"/>
    <xf numFmtId="0" fontId="51" fillId="5" borderId="0" xfId="0" applyFont="1" applyFill="1" applyBorder="1" applyAlignment="1">
      <alignment horizontal="center"/>
    </xf>
    <xf numFmtId="44" fontId="30" fillId="2" borderId="0" xfId="1" applyFont="1" applyFill="1" applyBorder="1" applyAlignment="1">
      <alignment horizontal="center"/>
    </xf>
    <xf numFmtId="44" fontId="8" fillId="2" borderId="0" xfId="1" applyFont="1" applyFill="1" applyBorder="1" applyAlignment="1">
      <alignment horizontal="center"/>
    </xf>
    <xf numFmtId="0" fontId="27" fillId="8" borderId="0" xfId="0" applyFont="1" applyFill="1" applyBorder="1" applyAlignment="1">
      <alignment horizontal="center" vertical="center"/>
    </xf>
    <xf numFmtId="0" fontId="29" fillId="5" borderId="0" xfId="0" applyFont="1" applyFill="1" applyBorder="1" applyAlignment="1">
      <alignment horizontal="left"/>
    </xf>
    <xf numFmtId="0" fontId="15" fillId="5" borderId="9" xfId="0" applyFont="1" applyFill="1" applyBorder="1" applyAlignment="1">
      <alignment horizontal="left"/>
    </xf>
    <xf numFmtId="0" fontId="15" fillId="5" borderId="11" xfId="0" applyFont="1" applyFill="1" applyBorder="1" applyAlignment="1">
      <alignment horizontal="left"/>
    </xf>
    <xf numFmtId="0" fontId="15" fillId="5" borderId="1" xfId="0" applyFont="1" applyFill="1" applyBorder="1" applyAlignment="1">
      <alignment horizontal="left"/>
    </xf>
    <xf numFmtId="0" fontId="15" fillId="5" borderId="2" xfId="0" applyFont="1" applyFill="1" applyBorder="1" applyAlignment="1">
      <alignment horizontal="left"/>
    </xf>
    <xf numFmtId="14" fontId="49" fillId="12" borderId="6" xfId="0" applyNumberFormat="1" applyFont="1" applyFill="1" applyBorder="1"/>
    <xf numFmtId="44" fontId="13" fillId="12" borderId="0" xfId="0" applyNumberFormat="1" applyFont="1" applyFill="1" applyBorder="1"/>
    <xf numFmtId="0" fontId="43" fillId="12" borderId="0" xfId="0" applyFont="1" applyFill="1" applyBorder="1"/>
    <xf numFmtId="0" fontId="13" fillId="12" borderId="0" xfId="0" applyFont="1" applyFill="1" applyBorder="1"/>
    <xf numFmtId="0" fontId="0" fillId="12" borderId="0" xfId="0" applyFill="1"/>
    <xf numFmtId="14" fontId="50" fillId="12" borderId="6" xfId="0" applyNumberFormat="1" applyFont="1" applyFill="1" applyBorder="1"/>
    <xf numFmtId="49" fontId="13" fillId="12" borderId="0" xfId="0" applyNumberFormat="1" applyFont="1" applyFill="1" applyBorder="1"/>
    <xf numFmtId="0" fontId="13" fillId="12" borderId="0" xfId="0" applyNumberFormat="1" applyFont="1" applyFill="1" applyBorder="1"/>
    <xf numFmtId="14" fontId="13" fillId="14" borderId="6" xfId="0" applyNumberFormat="1" applyFont="1" applyFill="1" applyBorder="1"/>
    <xf numFmtId="44" fontId="13" fillId="14" borderId="0" xfId="0" applyNumberFormat="1" applyFont="1" applyFill="1" applyBorder="1"/>
    <xf numFmtId="0" fontId="13" fillId="14" borderId="0" xfId="0" applyFont="1" applyFill="1" applyBorder="1"/>
    <xf numFmtId="0" fontId="13" fillId="14" borderId="0" xfId="0" applyFont="1" applyFill="1"/>
    <xf numFmtId="7" fontId="13" fillId="14" borderId="0" xfId="0" applyNumberFormat="1" applyFont="1" applyFill="1" applyBorder="1"/>
    <xf numFmtId="49" fontId="13" fillId="14" borderId="0" xfId="0" applyNumberFormat="1" applyFont="1" applyFill="1" applyBorder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F05E5E"/>
      <color rgb="FFE0E3BF"/>
      <color rgb="FFFFE471"/>
      <color rgb="FF9BF999"/>
      <color rgb="FFC9FCC8"/>
      <color rgb="FFDBDBDB"/>
      <color rgb="FFFFD9F8"/>
      <color rgb="FFF9B9BE"/>
      <color rgb="FFD393FB"/>
      <color rgb="FFD8E9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[Cashflowgit.xlsm]Gráficos!Gastos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GASTOS</a:t>
            </a:r>
          </a:p>
        </c:rich>
      </c:tx>
      <c:layout>
        <c:manualLayout>
          <c:xMode val="edge"/>
          <c:yMode val="edge"/>
          <c:x val="0.43972222222222224"/>
          <c:y val="9.157188684747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spPr>
          <a:solidFill>
            <a:schemeClr val="accent2">
              <a:shade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2">
              <a:shade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2">
              <a:shade val="9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2">
              <a:tint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2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2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2">
              <a:tint val="3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2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2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2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2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52E-4A5E-938C-95F57097D00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C52E-4A5E-938C-95F57097D00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52E-4A5E-938C-95F57097D0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5C7-4E44-A93C-6511B5777C6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F64-43E2-9590-0845E0C8389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FF64-43E2-9590-0845E0C8389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D30E-4307-A256-85A89DAB7667}"/>
              </c:ext>
            </c:extLst>
          </c:dPt>
          <c:cat>
            <c:strRef>
              <c:f>Gráficos!$A$4:$A$5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Gráficos!$B$4:$B$5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C52E-4A5E-938C-95F57097D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536112"/>
        <c:axId val="528721520"/>
      </c:barChart>
      <c:catAx>
        <c:axId val="56553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28721520"/>
        <c:crosses val="autoZero"/>
        <c:auto val="1"/>
        <c:lblAlgn val="ctr"/>
        <c:lblOffset val="100"/>
        <c:noMultiLvlLbl val="0"/>
      </c:catAx>
      <c:valAx>
        <c:axId val="52872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553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Bahnschrift SemiCondensed" panose="020B0502040204020203" pitchFamily="34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solidFill>
      <a:schemeClr val="tx1"/>
    </a:solidFill>
    <a:ln w="9525" cap="flat" cmpd="sng" algn="ctr">
      <a:noFill/>
      <a:round/>
    </a:ln>
    <a:effectLst>
      <a:outerShdw blurRad="50800" dist="50800" dir="5400000" algn="ctr" rotWithShape="0">
        <a:schemeClr val="tx1"/>
      </a:outerShdw>
    </a:effectLst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1.xml"/><Relationship Id="rId5" Type="http://schemas.openxmlformats.org/officeDocument/2006/relationships/image" Target="../media/image5.png"/><Relationship Id="rId15" Type="http://schemas.openxmlformats.org/officeDocument/2006/relationships/image" Target="../media/image14.sv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4" Type="http://schemas.openxmlformats.org/officeDocument/2006/relationships/image" Target="../media/image1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svg"/><Relationship Id="rId13" Type="http://schemas.openxmlformats.org/officeDocument/2006/relationships/image" Target="../media/image13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sv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24.sv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0" Type="http://schemas.openxmlformats.org/officeDocument/2006/relationships/image" Target="../media/image28.svg"/><Relationship Id="rId4" Type="http://schemas.openxmlformats.org/officeDocument/2006/relationships/image" Target="../media/image22.svg"/><Relationship Id="rId9" Type="http://schemas.openxmlformats.org/officeDocument/2006/relationships/image" Target="../media/image27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845820</xdr:colOff>
      <xdr:row>0</xdr:row>
      <xdr:rowOff>373380</xdr:rowOff>
    </xdr:from>
    <xdr:to>
      <xdr:col>1</xdr:col>
      <xdr:colOff>22860</xdr:colOff>
      <xdr:row>2</xdr:row>
      <xdr:rowOff>15240</xdr:rowOff>
    </xdr:to>
    <xdr:pic>
      <xdr:nvPicPr>
        <xdr:cNvPr id="10" name="Gráfico 9" descr="Tarjeta de crédito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5820" y="373380"/>
          <a:ext cx="579120" cy="579120"/>
        </a:xfrm>
        <a:prstGeom prst="rect">
          <a:avLst/>
        </a:prstGeom>
      </xdr:spPr>
    </xdr:pic>
    <xdr:clientData/>
  </xdr:twoCellAnchor>
  <xdr:twoCellAnchor editAs="oneCell">
    <xdr:from>
      <xdr:col>4</xdr:col>
      <xdr:colOff>259080</xdr:colOff>
      <xdr:row>1</xdr:row>
      <xdr:rowOff>114300</xdr:rowOff>
    </xdr:from>
    <xdr:to>
      <xdr:col>4</xdr:col>
      <xdr:colOff>594360</xdr:colOff>
      <xdr:row>1</xdr:row>
      <xdr:rowOff>449580</xdr:rowOff>
    </xdr:to>
    <xdr:pic>
      <xdr:nvPicPr>
        <xdr:cNvPr id="11" name="Gráfico 10" descr="Gráfico de barras con tendencia bajista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709160" y="518160"/>
          <a:ext cx="335280" cy="335280"/>
        </a:xfrm>
        <a:prstGeom prst="rect">
          <a:avLst/>
        </a:prstGeom>
      </xdr:spPr>
    </xdr:pic>
    <xdr:clientData/>
  </xdr:twoCellAnchor>
  <xdr:twoCellAnchor editAs="oneCell">
    <xdr:from>
      <xdr:col>14</xdr:col>
      <xdr:colOff>99060</xdr:colOff>
      <xdr:row>6</xdr:row>
      <xdr:rowOff>30480</xdr:rowOff>
    </xdr:from>
    <xdr:to>
      <xdr:col>14</xdr:col>
      <xdr:colOff>480060</xdr:colOff>
      <xdr:row>6</xdr:row>
      <xdr:rowOff>411480</xdr:rowOff>
    </xdr:to>
    <xdr:pic macro="[0]!MostrarConfiguracion">
      <xdr:nvPicPr>
        <xdr:cNvPr id="3" name="Gráfico 2" descr="Herramienta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86360" y="248412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45720</xdr:colOff>
      <xdr:row>3</xdr:row>
      <xdr:rowOff>297180</xdr:rowOff>
    </xdr:from>
    <xdr:to>
      <xdr:col>14</xdr:col>
      <xdr:colOff>510540</xdr:colOff>
      <xdr:row>5</xdr:row>
      <xdr:rowOff>0</xdr:rowOff>
    </xdr:to>
    <xdr:pic macro="[0]!Mostrar_gastos">
      <xdr:nvPicPr>
        <xdr:cNvPr id="7" name="Gráfico 6" descr="Gráfico de tendencia descendent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710160" y="1714500"/>
          <a:ext cx="464820" cy="464820"/>
        </a:xfrm>
        <a:prstGeom prst="rect">
          <a:avLst/>
        </a:prstGeom>
      </xdr:spPr>
    </xdr:pic>
    <xdr:clientData/>
  </xdr:twoCellAnchor>
  <xdr:twoCellAnchor editAs="oneCell">
    <xdr:from>
      <xdr:col>14</xdr:col>
      <xdr:colOff>50940</xdr:colOff>
      <xdr:row>1</xdr:row>
      <xdr:rowOff>703860</xdr:rowOff>
    </xdr:from>
    <xdr:to>
      <xdr:col>14</xdr:col>
      <xdr:colOff>502920</xdr:colOff>
      <xdr:row>3</xdr:row>
      <xdr:rowOff>73800</xdr:rowOff>
    </xdr:to>
    <xdr:pic macro="[0]!Mostrar_ingresos">
      <xdr:nvPicPr>
        <xdr:cNvPr id="12" name="Gráfico 11" descr="Tendencia al alza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738240" y="1031520"/>
          <a:ext cx="451980" cy="451980"/>
        </a:xfrm>
        <a:prstGeom prst="rect">
          <a:avLst/>
        </a:prstGeom>
      </xdr:spPr>
    </xdr:pic>
    <xdr:clientData/>
  </xdr:twoCellAnchor>
  <xdr:twoCellAnchor>
    <xdr:from>
      <xdr:col>7</xdr:col>
      <xdr:colOff>144780</xdr:colOff>
      <xdr:row>1</xdr:row>
      <xdr:rowOff>350520</xdr:rowOff>
    </xdr:from>
    <xdr:to>
      <xdr:col>13</xdr:col>
      <xdr:colOff>320040</xdr:colOff>
      <xdr:row>11</xdr:row>
      <xdr:rowOff>76200</xdr:rowOff>
    </xdr:to>
    <xdr:graphicFrame macro="">
      <xdr:nvGraphicFramePr>
        <xdr:cNvPr id="19" name="GastosGraph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220980</xdr:colOff>
      <xdr:row>6</xdr:row>
      <xdr:rowOff>137160</xdr:rowOff>
    </xdr:from>
    <xdr:to>
      <xdr:col>0</xdr:col>
      <xdr:colOff>365760</xdr:colOff>
      <xdr:row>6</xdr:row>
      <xdr:rowOff>304800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B02452FD-652F-4C24-A4F5-954BEBD32F45}"/>
            </a:ext>
          </a:extLst>
        </xdr:cNvPr>
        <xdr:cNvSpPr/>
      </xdr:nvSpPr>
      <xdr:spPr>
        <a:xfrm>
          <a:off x="220980" y="2491740"/>
          <a:ext cx="144780" cy="167640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152400</xdr:colOff>
      <xdr:row>6</xdr:row>
      <xdr:rowOff>99060</xdr:rowOff>
    </xdr:from>
    <xdr:to>
      <xdr:col>0</xdr:col>
      <xdr:colOff>434340</xdr:colOff>
      <xdr:row>6</xdr:row>
      <xdr:rowOff>381000</xdr:rowOff>
    </xdr:to>
    <xdr:pic macro="[0]!Add_ingreso">
      <xdr:nvPicPr>
        <xdr:cNvPr id="27" name="Gráfico 26" descr="Insignia de seguir">
          <a:extLst>
            <a:ext uri="{FF2B5EF4-FFF2-40B4-BE49-F238E27FC236}">
              <a16:creationId xmlns:a16="http://schemas.microsoft.com/office/drawing/2014/main" id="{63DE3121-6DA7-4357-ACEA-6DC0CA43D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52400" y="2453640"/>
          <a:ext cx="281940" cy="281940"/>
        </a:xfrm>
        <a:prstGeom prst="rect">
          <a:avLst/>
        </a:prstGeom>
      </xdr:spPr>
    </xdr:pic>
    <xdr:clientData/>
  </xdr:twoCellAnchor>
  <xdr:twoCellAnchor>
    <xdr:from>
      <xdr:col>0</xdr:col>
      <xdr:colOff>228600</xdr:colOff>
      <xdr:row>7</xdr:row>
      <xdr:rowOff>129540</xdr:rowOff>
    </xdr:from>
    <xdr:to>
      <xdr:col>0</xdr:col>
      <xdr:colOff>373380</xdr:colOff>
      <xdr:row>7</xdr:row>
      <xdr:rowOff>297180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F3C6B8E5-491B-400C-A7C8-51754EB6B9EF}"/>
            </a:ext>
          </a:extLst>
        </xdr:cNvPr>
        <xdr:cNvSpPr/>
      </xdr:nvSpPr>
      <xdr:spPr>
        <a:xfrm>
          <a:off x="228600" y="2903220"/>
          <a:ext cx="144780" cy="16764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152400</xdr:colOff>
      <xdr:row>7</xdr:row>
      <xdr:rowOff>76200</xdr:rowOff>
    </xdr:from>
    <xdr:to>
      <xdr:col>0</xdr:col>
      <xdr:colOff>434340</xdr:colOff>
      <xdr:row>7</xdr:row>
      <xdr:rowOff>358140</xdr:rowOff>
    </xdr:to>
    <xdr:pic macro="[0]!Add_Gasto">
      <xdr:nvPicPr>
        <xdr:cNvPr id="29" name="Gráfico 28" descr="Insignia de seguir">
          <a:extLst>
            <a:ext uri="{FF2B5EF4-FFF2-40B4-BE49-F238E27FC236}">
              <a16:creationId xmlns:a16="http://schemas.microsoft.com/office/drawing/2014/main" id="{88859BB9-E8BF-4A01-8354-1E7055BD4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52400" y="2849880"/>
          <a:ext cx="281940" cy="281940"/>
        </a:xfrm>
        <a:prstGeom prst="rect">
          <a:avLst/>
        </a:prstGeom>
      </xdr:spPr>
    </xdr:pic>
    <xdr:clientData/>
  </xdr:twoCellAnchor>
  <xdr:twoCellAnchor editAs="oneCell">
    <xdr:from>
      <xdr:col>4</xdr:col>
      <xdr:colOff>632460</xdr:colOff>
      <xdr:row>1</xdr:row>
      <xdr:rowOff>38100</xdr:rowOff>
    </xdr:from>
    <xdr:to>
      <xdr:col>4</xdr:col>
      <xdr:colOff>899160</xdr:colOff>
      <xdr:row>1</xdr:row>
      <xdr:rowOff>304800</xdr:rowOff>
    </xdr:to>
    <xdr:pic macro="[0]!Help_balance">
      <xdr:nvPicPr>
        <xdr:cNvPr id="30" name="Gráfico 29" descr="Ayuda">
          <a:extLst>
            <a:ext uri="{FF2B5EF4-FFF2-40B4-BE49-F238E27FC236}">
              <a16:creationId xmlns:a16="http://schemas.microsoft.com/office/drawing/2014/main" id="{B6DDBBF3-734E-4A14-90BE-D5248C3E6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5082540" y="441960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4</xdr:col>
      <xdr:colOff>670560</xdr:colOff>
      <xdr:row>5</xdr:row>
      <xdr:rowOff>0</xdr:rowOff>
    </xdr:from>
    <xdr:to>
      <xdr:col>4</xdr:col>
      <xdr:colOff>906780</xdr:colOff>
      <xdr:row>5</xdr:row>
      <xdr:rowOff>236220</xdr:rowOff>
    </xdr:to>
    <xdr:pic macro="[0]!Help_fechas">
      <xdr:nvPicPr>
        <xdr:cNvPr id="31" name="Gráfico 30" descr="Ayuda">
          <a:extLst>
            <a:ext uri="{FF2B5EF4-FFF2-40B4-BE49-F238E27FC236}">
              <a16:creationId xmlns:a16="http://schemas.microsoft.com/office/drawing/2014/main" id="{9D32D904-8A04-4B9B-A47C-5BF01E13C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5120640" y="2080260"/>
          <a:ext cx="236220" cy="236220"/>
        </a:xfrm>
        <a:prstGeom prst="rect">
          <a:avLst/>
        </a:prstGeom>
      </xdr:spPr>
    </xdr:pic>
    <xdr:clientData/>
  </xdr:twoCellAnchor>
  <xdr:twoCellAnchor editAs="oneCell">
    <xdr:from>
      <xdr:col>0</xdr:col>
      <xdr:colOff>1264920</xdr:colOff>
      <xdr:row>5</xdr:row>
      <xdr:rowOff>30480</xdr:rowOff>
    </xdr:from>
    <xdr:to>
      <xdr:col>1</xdr:col>
      <xdr:colOff>91440</xdr:colOff>
      <xdr:row>5</xdr:row>
      <xdr:rowOff>259080</xdr:rowOff>
    </xdr:to>
    <xdr:pic macro="[0]!Help_movimiento">
      <xdr:nvPicPr>
        <xdr:cNvPr id="32" name="Gráfico 31" descr="Ayuda">
          <a:extLst>
            <a:ext uri="{FF2B5EF4-FFF2-40B4-BE49-F238E27FC236}">
              <a16:creationId xmlns:a16="http://schemas.microsoft.com/office/drawing/2014/main" id="{DB15AB05-4986-49CF-8D62-CAECFE888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264920" y="2110740"/>
          <a:ext cx="228600" cy="228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670560</xdr:colOff>
      <xdr:row>0</xdr:row>
      <xdr:rowOff>213360</xdr:rowOff>
    </xdr:from>
    <xdr:to>
      <xdr:col>9</xdr:col>
      <xdr:colOff>38100</xdr:colOff>
      <xdr:row>5</xdr:row>
      <xdr:rowOff>167640</xdr:rowOff>
    </xdr:to>
    <xdr:pic macro="[0]!Mostrar_main">
      <xdr:nvPicPr>
        <xdr:cNvPr id="3" name="Gráfico 2" descr="Atrá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67500" y="21336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7</xdr:col>
      <xdr:colOff>68580</xdr:colOff>
      <xdr:row>0</xdr:row>
      <xdr:rowOff>91439</xdr:rowOff>
    </xdr:from>
    <xdr:to>
      <xdr:col>7</xdr:col>
      <xdr:colOff>571500</xdr:colOff>
      <xdr:row>3</xdr:row>
      <xdr:rowOff>43380</xdr:rowOff>
    </xdr:to>
    <xdr:pic macro="[0]!Help_gastos">
      <xdr:nvPicPr>
        <xdr:cNvPr id="8" name="Gráfico 7" descr="Ayuda">
          <a:extLst>
            <a:ext uri="{FF2B5EF4-FFF2-40B4-BE49-F238E27FC236}">
              <a16:creationId xmlns:a16="http://schemas.microsoft.com/office/drawing/2014/main" id="{0D395717-FDB4-4E08-9399-2DDE775A6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254240" y="91439"/>
          <a:ext cx="502920" cy="5539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731520</xdr:colOff>
      <xdr:row>1</xdr:row>
      <xdr:rowOff>15240</xdr:rowOff>
    </xdr:from>
    <xdr:to>
      <xdr:col>8</xdr:col>
      <xdr:colOff>731520</xdr:colOff>
      <xdr:row>6</xdr:row>
      <xdr:rowOff>53340</xdr:rowOff>
    </xdr:to>
    <xdr:pic macro="[0]!Mostrar_main">
      <xdr:nvPicPr>
        <xdr:cNvPr id="3" name="Gráfico 2" descr="Atrá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28360" y="198120"/>
          <a:ext cx="792480" cy="952500"/>
        </a:xfrm>
        <a:prstGeom prst="rect">
          <a:avLst/>
        </a:prstGeom>
      </xdr:spPr>
    </xdr:pic>
    <xdr:clientData/>
  </xdr:twoCellAnchor>
  <xdr:twoCellAnchor editAs="oneCell">
    <xdr:from>
      <xdr:col>7</xdr:col>
      <xdr:colOff>182880</xdr:colOff>
      <xdr:row>0</xdr:row>
      <xdr:rowOff>45720</xdr:rowOff>
    </xdr:from>
    <xdr:to>
      <xdr:col>7</xdr:col>
      <xdr:colOff>571500</xdr:colOff>
      <xdr:row>2</xdr:row>
      <xdr:rowOff>68580</xdr:rowOff>
    </xdr:to>
    <xdr:pic macro="[0]!Help_ingresos">
      <xdr:nvPicPr>
        <xdr:cNvPr id="7" name="Gráfico 6" descr="Ayuda">
          <a:extLst>
            <a:ext uri="{FF2B5EF4-FFF2-40B4-BE49-F238E27FC236}">
              <a16:creationId xmlns:a16="http://schemas.microsoft.com/office/drawing/2014/main" id="{811E620B-22FB-40B4-AD3B-8BB15D5AC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379720" y="45720"/>
          <a:ext cx="388620" cy="388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68580</xdr:colOff>
      <xdr:row>1</xdr:row>
      <xdr:rowOff>45720</xdr:rowOff>
    </xdr:from>
    <xdr:to>
      <xdr:col>13</xdr:col>
      <xdr:colOff>731520</xdr:colOff>
      <xdr:row>3</xdr:row>
      <xdr:rowOff>205740</xdr:rowOff>
    </xdr:to>
    <xdr:pic macro="[0]!Mostrar_main">
      <xdr:nvPicPr>
        <xdr:cNvPr id="5" name="Gráfico 4" descr="Atrás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68000" y="403860"/>
          <a:ext cx="662940" cy="662940"/>
        </a:xfrm>
        <a:prstGeom prst="rect">
          <a:avLst/>
        </a:prstGeom>
      </xdr:spPr>
    </xdr:pic>
    <xdr:clientData/>
  </xdr:twoCellAnchor>
  <xdr:twoCellAnchor editAs="oneCell">
    <xdr:from>
      <xdr:col>8</xdr:col>
      <xdr:colOff>182880</xdr:colOff>
      <xdr:row>0</xdr:row>
      <xdr:rowOff>76200</xdr:rowOff>
    </xdr:from>
    <xdr:to>
      <xdr:col>8</xdr:col>
      <xdr:colOff>441960</xdr:colOff>
      <xdr:row>0</xdr:row>
      <xdr:rowOff>335280</xdr:rowOff>
    </xdr:to>
    <xdr:pic macro="[0]!MuestraConf">
      <xdr:nvPicPr>
        <xdr:cNvPr id="3" name="Gráfico 2" descr="Llave inglesa">
          <a:extLst>
            <a:ext uri="{FF2B5EF4-FFF2-40B4-BE49-F238E27FC236}">
              <a16:creationId xmlns:a16="http://schemas.microsoft.com/office/drawing/2014/main" id="{11776B70-920F-4122-B28E-CEDBEB99F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637020" y="76200"/>
          <a:ext cx="259080" cy="259080"/>
        </a:xfrm>
        <a:prstGeom prst="rect">
          <a:avLst/>
        </a:prstGeom>
      </xdr:spPr>
    </xdr:pic>
    <xdr:clientData/>
  </xdr:twoCellAnchor>
  <xdr:twoCellAnchor editAs="oneCell">
    <xdr:from>
      <xdr:col>11</xdr:col>
      <xdr:colOff>167640</xdr:colOff>
      <xdr:row>1</xdr:row>
      <xdr:rowOff>30480</xdr:rowOff>
    </xdr:from>
    <xdr:to>
      <xdr:col>11</xdr:col>
      <xdr:colOff>373380</xdr:colOff>
      <xdr:row>1</xdr:row>
      <xdr:rowOff>236220</xdr:rowOff>
    </xdr:to>
    <xdr:pic macro="[0]!MuestraReset">
      <xdr:nvPicPr>
        <xdr:cNvPr id="4" name="Gráfico 3" descr="Potencia">
          <a:extLst>
            <a:ext uri="{FF2B5EF4-FFF2-40B4-BE49-F238E27FC236}">
              <a16:creationId xmlns:a16="http://schemas.microsoft.com/office/drawing/2014/main" id="{74EFF068-9EB6-4415-80BE-93685D354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319260" y="388620"/>
          <a:ext cx="205740" cy="205740"/>
        </a:xfrm>
        <a:prstGeom prst="rect">
          <a:avLst/>
        </a:prstGeom>
      </xdr:spPr>
    </xdr:pic>
    <xdr:clientData/>
  </xdr:twoCellAnchor>
  <xdr:twoCellAnchor editAs="oneCell">
    <xdr:from>
      <xdr:col>11</xdr:col>
      <xdr:colOff>144780</xdr:colOff>
      <xdr:row>2</xdr:row>
      <xdr:rowOff>7620</xdr:rowOff>
    </xdr:from>
    <xdr:to>
      <xdr:col>11</xdr:col>
      <xdr:colOff>396240</xdr:colOff>
      <xdr:row>3</xdr:row>
      <xdr:rowOff>7620</xdr:rowOff>
    </xdr:to>
    <xdr:pic macro="[0]!MuestraLiberar">
      <xdr:nvPicPr>
        <xdr:cNvPr id="7" name="Gráfico 6" descr="Reciclaje">
          <a:extLst>
            <a:ext uri="{FF2B5EF4-FFF2-40B4-BE49-F238E27FC236}">
              <a16:creationId xmlns:a16="http://schemas.microsoft.com/office/drawing/2014/main" id="{2E8E976D-D6D9-4320-A4C7-D1C702D88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96400" y="61722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10</xdr:col>
      <xdr:colOff>518160</xdr:colOff>
      <xdr:row>0</xdr:row>
      <xdr:rowOff>106680</xdr:rowOff>
    </xdr:from>
    <xdr:to>
      <xdr:col>10</xdr:col>
      <xdr:colOff>777240</xdr:colOff>
      <xdr:row>1</xdr:row>
      <xdr:rowOff>7620</xdr:rowOff>
    </xdr:to>
    <xdr:pic>
      <xdr:nvPicPr>
        <xdr:cNvPr id="6" name="Gráfico 5" descr="Usuario">
          <a:extLst>
            <a:ext uri="{FF2B5EF4-FFF2-40B4-BE49-F238E27FC236}">
              <a16:creationId xmlns:a16="http://schemas.microsoft.com/office/drawing/2014/main" id="{286E4F24-582F-43A6-AC11-6AA2F6868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724900" y="106680"/>
          <a:ext cx="259080" cy="259080"/>
        </a:xfrm>
        <a:prstGeom prst="rect">
          <a:avLst/>
        </a:prstGeom>
      </xdr:spPr>
    </xdr:pic>
    <xdr:clientData/>
  </xdr:twoCellAnchor>
  <xdr:twoCellAnchor editAs="oneCell">
    <xdr:from>
      <xdr:col>3</xdr:col>
      <xdr:colOff>1066800</xdr:colOff>
      <xdr:row>0</xdr:row>
      <xdr:rowOff>91440</xdr:rowOff>
    </xdr:from>
    <xdr:to>
      <xdr:col>3</xdr:col>
      <xdr:colOff>1318260</xdr:colOff>
      <xdr:row>0</xdr:row>
      <xdr:rowOff>342900</xdr:rowOff>
    </xdr:to>
    <xdr:pic macro="[0]!MuestraFijos">
      <xdr:nvPicPr>
        <xdr:cNvPr id="17" name="Gráfico 16" descr="Insignia de seguir">
          <a:extLst>
            <a:ext uri="{FF2B5EF4-FFF2-40B4-BE49-F238E27FC236}">
              <a16:creationId xmlns:a16="http://schemas.microsoft.com/office/drawing/2014/main" id="{7BB525EC-5078-404F-BEAB-4140E2E03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7620" y="9144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1</xdr:col>
      <xdr:colOff>312420</xdr:colOff>
      <xdr:row>0</xdr:row>
      <xdr:rowOff>83820</xdr:rowOff>
    </xdr:from>
    <xdr:to>
      <xdr:col>1</xdr:col>
      <xdr:colOff>579120</xdr:colOff>
      <xdr:row>0</xdr:row>
      <xdr:rowOff>350520</xdr:rowOff>
    </xdr:to>
    <xdr:pic macro="[0]!Help_Fijos">
      <xdr:nvPicPr>
        <xdr:cNvPr id="19" name="Gráfico 18" descr="Ayuda">
          <a:extLst>
            <a:ext uri="{FF2B5EF4-FFF2-40B4-BE49-F238E27FC236}">
              <a16:creationId xmlns:a16="http://schemas.microsoft.com/office/drawing/2014/main" id="{1CFCC7A8-2935-469E-8FD9-A88B13D3B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95400" y="83820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8</xdr:col>
      <xdr:colOff>655320</xdr:colOff>
      <xdr:row>0</xdr:row>
      <xdr:rowOff>68580</xdr:rowOff>
    </xdr:from>
    <xdr:to>
      <xdr:col>8</xdr:col>
      <xdr:colOff>922020</xdr:colOff>
      <xdr:row>0</xdr:row>
      <xdr:rowOff>335280</xdr:rowOff>
    </xdr:to>
    <xdr:pic macro="[0]!Help_Categorias">
      <xdr:nvPicPr>
        <xdr:cNvPr id="20" name="Gráfico 19" descr="Ayuda">
          <a:extLst>
            <a:ext uri="{FF2B5EF4-FFF2-40B4-BE49-F238E27FC236}">
              <a16:creationId xmlns:a16="http://schemas.microsoft.com/office/drawing/2014/main" id="{BA3199EC-CD79-41FE-83DC-7B432412A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09460" y="68580"/>
          <a:ext cx="266700" cy="266700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rlando" refreshedDate="44094.935758101848" createdVersion="3" refreshedVersion="6" minRefreshableVersion="3" recordCount="17" xr:uid="{5FC39AAC-340D-47A5-8FDD-368A7D0D022E}">
  <cacheSource type="worksheet">
    <worksheetSource ref="A2:G18" sheet="Ingresos"/>
  </cacheSource>
  <cacheFields count="7">
    <cacheField name="Fecha" numFmtId="14">
      <sharedItems containsSemiMixedTypes="0" containsNonDate="0" containsDate="1" containsString="0" minDate="2020-05-01T00:00:00" maxDate="2020-09-21T00:00:00"/>
    </cacheField>
    <cacheField name="Importe" numFmtId="0">
      <sharedItems containsSemiMixedTypes="0" containsString="0" containsNumber="1" containsInteger="1" minValue="0" maxValue="32119"/>
    </cacheField>
    <cacheField name="Categoria" numFmtId="0">
      <sharedItems count="3">
        <s v="Ajuste"/>
        <s v="Fijo"/>
        <s v="Varios"/>
      </sharedItems>
    </cacheField>
    <cacheField name="Concepto" numFmtId="0">
      <sharedItems containsBlank="1"/>
    </cacheField>
    <cacheField name="Detalle" numFmtId="0">
      <sharedItems containsNonDate="0" containsString="0" containsBlank="1"/>
    </cacheField>
    <cacheField name="Mes-Año" numFmtId="0">
      <sharedItems/>
    </cacheField>
    <cacheField name="01/01/1900 I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rlando" refreshedDate="44099.481347800924" createdVersion="3" refreshedVersion="6" minRefreshableVersion="3" recordCount="1" xr:uid="{6B4B5F0A-3E1F-47D6-925E-0AA5C27AB9C9}">
  <cacheSource type="worksheet">
    <worksheetSource ref="A2:G3" sheet="Gastos"/>
  </cacheSource>
  <cacheFields count="7">
    <cacheField name="Fecha" numFmtId="14">
      <sharedItems containsNonDate="0" containsString="0" containsBlank="1"/>
    </cacheField>
    <cacheField name="Importe" numFmtId="44">
      <sharedItems containsNonDate="0" containsString="0" containsBlank="1"/>
    </cacheField>
    <cacheField name="Categoria" numFmtId="0">
      <sharedItems containsNonDate="0" containsString="0" containsBlank="1" count="1">
        <m/>
      </sharedItems>
    </cacheField>
    <cacheField name="Concepto" numFmtId="0">
      <sharedItems containsNonDate="0" containsString="0" containsBlank="1"/>
    </cacheField>
    <cacheField name="Detalle" numFmtId="0">
      <sharedItems containsNonDate="0" containsString="0" containsBlank="1"/>
    </cacheField>
    <cacheField name="Mes-Año" numFmtId="0">
      <sharedItems containsNonDate="0" containsString="0" containsBlank="1" count="1">
        <m/>
      </sharedItems>
    </cacheField>
    <cacheField name="01/01/1900 IDENTIFICADO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241835-51C4-420D-800C-7724750DFB4A}" name="Ingresos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D1:E5" firstHeaderRow="1" firstDataRow="1" firstDataCol="1"/>
  <pivotFields count="7">
    <pivotField numFmtId="14"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Import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A0A1C2-0379-44F6-B25A-8BC3D9643CE2}" name="Gastos" cacheId="4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3:B5" firstHeaderRow="1" firstDataRow="1" firstDataCol="1" rowPageCount="1" colPageCount="1"/>
  <pivotFields count="7">
    <pivotField numFmtId="14" showAll="0"/>
    <pivotField dataField="1" showAll="0"/>
    <pivotField axis="axisPage" multipleItemSelectionAllowed="1" showAll="0">
      <items count="2">
        <item x="0"/>
        <item t="default"/>
      </items>
    </pivotField>
    <pivotField showAll="0"/>
    <pivotField showAll="0"/>
    <pivotField axis="axisRow" multipleItemSelectionAllowed="1" showAll="0" nonAutoSortDefault="1">
      <items count="2">
        <item x="0"/>
        <item t="default"/>
      </items>
    </pivotField>
    <pivotField showAll="0"/>
  </pivotFields>
  <rowFields count="1">
    <field x="5"/>
  </rowFields>
  <rowItems count="2">
    <i>
      <x/>
    </i>
    <i t="grand">
      <x/>
    </i>
  </rowItems>
  <colItems count="1">
    <i/>
  </colItems>
  <pageFields count="1">
    <pageField fld="2" hier="-1"/>
  </pageFields>
  <dataFields count="1">
    <dataField name="Suma de Importe" fld="1" baseField="0" baseItem="0"/>
  </dataFields>
  <chartFormats count="1"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37393-1838-4241-9119-2FD1D79D63C2}">
  <sheetPr codeName="Hoja1"/>
  <dimension ref="A1:R72"/>
  <sheetViews>
    <sheetView tabSelected="1" zoomScaleNormal="100" workbookViewId="0">
      <selection activeCell="N16" sqref="N16"/>
    </sheetView>
  </sheetViews>
  <sheetFormatPr baseColWidth="10" defaultRowHeight="14.4" x14ac:dyDescent="0.3"/>
  <cols>
    <col min="1" max="1" width="20.44140625" customWidth="1"/>
    <col min="2" max="2" width="18.33203125" customWidth="1"/>
    <col min="3" max="3" width="10.33203125" customWidth="1"/>
    <col min="4" max="4" width="15.77734375" customWidth="1"/>
    <col min="5" max="5" width="13.44140625" customWidth="1"/>
    <col min="7" max="7" width="10.5546875" customWidth="1"/>
    <col min="8" max="8" width="7.44140625" customWidth="1"/>
    <col min="14" max="14" width="13.88671875" customWidth="1"/>
    <col min="15" max="15" width="7.88671875" customWidth="1"/>
    <col min="16" max="16" width="14.109375" customWidth="1"/>
  </cols>
  <sheetData>
    <row r="1" spans="1:18" ht="31.8" customHeight="1" x14ac:dyDescent="0.45">
      <c r="A1" s="66" t="str">
        <f ca="1">CHOOSE(WEEKDAY(TODAY()),"Domingo","Lunes","Martes","Miércoles","Jueves","Viernes","Sábado")</f>
        <v>Viernes</v>
      </c>
      <c r="B1" s="100"/>
      <c r="C1" s="101"/>
      <c r="D1" s="68"/>
      <c r="E1" s="68" t="s">
        <v>62</v>
      </c>
      <c r="F1" s="93"/>
      <c r="G1" s="152" t="s">
        <v>35</v>
      </c>
      <c r="H1" s="152"/>
      <c r="I1" s="73" t="s">
        <v>23</v>
      </c>
      <c r="J1" s="74" t="s">
        <v>39</v>
      </c>
      <c r="K1" s="73" t="s">
        <v>40</v>
      </c>
      <c r="L1" s="74" t="s">
        <v>8</v>
      </c>
      <c r="M1" s="75"/>
      <c r="N1" s="61"/>
      <c r="O1" s="151" t="s">
        <v>27</v>
      </c>
      <c r="P1" s="151"/>
      <c r="Q1" s="93"/>
      <c r="R1" s="93"/>
    </row>
    <row r="2" spans="1:18" ht="42" customHeight="1" x14ac:dyDescent="0.3">
      <c r="A2" s="78" t="s">
        <v>11</v>
      </c>
      <c r="B2" s="79">
        <f ca="1">TODAY()</f>
        <v>44099</v>
      </c>
      <c r="C2" s="76" t="s">
        <v>7</v>
      </c>
      <c r="D2" s="77" t="s">
        <v>16</v>
      </c>
      <c r="E2" s="36"/>
      <c r="F2" s="64"/>
      <c r="G2" s="61"/>
      <c r="H2" s="7"/>
      <c r="I2" s="7"/>
      <c r="J2" s="7"/>
      <c r="K2" s="7"/>
      <c r="L2" s="7"/>
      <c r="M2" s="7"/>
      <c r="N2" s="7"/>
      <c r="O2" s="151"/>
      <c r="P2" s="151"/>
      <c r="Q2" s="93"/>
      <c r="R2" s="93"/>
    </row>
    <row r="3" spans="1:18" ht="30" customHeight="1" x14ac:dyDescent="0.3">
      <c r="A3" s="149">
        <f>SUM(Ingresos!B:B)-SUM(Gastos!B:B)</f>
        <v>0</v>
      </c>
      <c r="B3" s="149"/>
      <c r="C3" s="150">
        <f>IF(D2="General",SUMIFS(Gastos!B:B,Gastos!F:F,Fin!E1),SUMIFS(Gastos!B:B,Gastos!F:F,Fin!E1,Gastos!C:C,Fin!D2))</f>
        <v>0</v>
      </c>
      <c r="D3" s="150"/>
      <c r="E3" s="150"/>
      <c r="F3" s="64"/>
      <c r="G3" s="7"/>
      <c r="H3" s="7"/>
      <c r="I3" s="7"/>
      <c r="J3" s="7"/>
      <c r="K3" s="7"/>
      <c r="L3" s="7"/>
      <c r="M3" s="7"/>
      <c r="N3" s="7"/>
      <c r="O3" s="67"/>
      <c r="P3" s="71" t="s">
        <v>25</v>
      </c>
      <c r="Q3" s="93"/>
      <c r="R3" s="93"/>
    </row>
    <row r="4" spans="1:18" ht="30" customHeight="1" x14ac:dyDescent="0.3">
      <c r="A4" s="149"/>
      <c r="B4" s="149"/>
      <c r="C4" s="150"/>
      <c r="D4" s="150"/>
      <c r="E4" s="150"/>
      <c r="F4" s="64"/>
      <c r="G4" s="7"/>
      <c r="H4" s="7"/>
      <c r="I4" s="7"/>
      <c r="J4" s="7"/>
      <c r="K4" s="7"/>
      <c r="L4" s="7"/>
      <c r="M4" s="7"/>
      <c r="N4" s="7"/>
      <c r="O4" s="67"/>
      <c r="P4" s="72"/>
      <c r="Q4" s="93"/>
      <c r="R4" s="93"/>
    </row>
    <row r="5" spans="1:18" ht="30" customHeight="1" thickBot="1" x14ac:dyDescent="0.55000000000000004">
      <c r="A5" s="69"/>
      <c r="B5" s="70"/>
      <c r="C5" s="62"/>
      <c r="D5" s="62"/>
      <c r="E5" s="62"/>
      <c r="F5" s="64"/>
      <c r="G5" s="7"/>
      <c r="H5" s="7"/>
      <c r="I5" s="7"/>
      <c r="J5" s="7"/>
      <c r="K5" s="7"/>
      <c r="L5" s="7"/>
      <c r="M5" s="7"/>
      <c r="N5" s="7"/>
      <c r="O5" s="67"/>
      <c r="P5" s="71" t="s">
        <v>24</v>
      </c>
      <c r="Q5" s="93"/>
      <c r="R5" s="93"/>
    </row>
    <row r="6" spans="1:18" ht="21.6" customHeight="1" thickBot="1" x14ac:dyDescent="0.35">
      <c r="A6" s="80" t="s">
        <v>15</v>
      </c>
      <c r="B6" s="81" t="s">
        <v>9</v>
      </c>
      <c r="C6" s="81" t="s">
        <v>0</v>
      </c>
      <c r="D6" s="81" t="s">
        <v>4</v>
      </c>
      <c r="E6" s="82" t="s">
        <v>1</v>
      </c>
      <c r="F6" s="64"/>
      <c r="G6" s="7"/>
      <c r="H6" s="7"/>
      <c r="I6" s="7"/>
      <c r="J6" s="7"/>
      <c r="K6" s="7"/>
      <c r="L6" s="7"/>
      <c r="M6" s="7"/>
      <c r="N6" s="7"/>
      <c r="O6" s="67"/>
      <c r="P6" s="72"/>
      <c r="Q6" s="93"/>
      <c r="R6" s="93"/>
    </row>
    <row r="7" spans="1:18" ht="33" customHeight="1" thickBot="1" x14ac:dyDescent="0.4">
      <c r="A7" s="41" t="s">
        <v>31</v>
      </c>
      <c r="B7" s="37">
        <v>0</v>
      </c>
      <c r="C7" s="141" t="s">
        <v>17</v>
      </c>
      <c r="D7" s="42"/>
      <c r="E7" s="43"/>
      <c r="F7" s="64"/>
      <c r="G7" s="7"/>
      <c r="H7" s="7"/>
      <c r="I7" s="7"/>
      <c r="J7" s="7"/>
      <c r="K7" s="7"/>
      <c r="L7" s="7"/>
      <c r="M7" s="7"/>
      <c r="N7" s="7"/>
      <c r="O7" s="67"/>
      <c r="P7" s="71" t="s">
        <v>28</v>
      </c>
      <c r="Q7" s="93"/>
      <c r="R7" s="93"/>
    </row>
    <row r="8" spans="1:18" ht="33.6" customHeight="1" thickBot="1" x14ac:dyDescent="0.35">
      <c r="A8" s="44" t="s">
        <v>2</v>
      </c>
      <c r="B8" s="51">
        <v>0</v>
      </c>
      <c r="C8" s="142" t="s">
        <v>16</v>
      </c>
      <c r="D8" s="42"/>
      <c r="E8" s="43"/>
      <c r="F8" s="64"/>
      <c r="G8" s="7"/>
      <c r="H8" s="7"/>
      <c r="I8" s="7"/>
      <c r="J8" s="7"/>
      <c r="K8" s="7"/>
      <c r="L8" s="7"/>
      <c r="M8" s="7"/>
      <c r="N8" s="7"/>
      <c r="O8" s="64"/>
      <c r="P8" s="64"/>
      <c r="Q8" s="93"/>
      <c r="R8" s="93"/>
    </row>
    <row r="9" spans="1:18" ht="21" customHeight="1" x14ac:dyDescent="0.45">
      <c r="A9" s="63"/>
      <c r="B9" s="64"/>
      <c r="C9" s="64"/>
      <c r="D9" s="64"/>
      <c r="E9" s="64"/>
      <c r="F9" s="64"/>
      <c r="G9" s="7"/>
      <c r="H9" s="7"/>
      <c r="I9" s="7"/>
      <c r="J9" s="7"/>
      <c r="K9" s="7"/>
      <c r="L9" s="7"/>
      <c r="M9" s="7"/>
      <c r="N9" s="7"/>
      <c r="O9" s="64"/>
      <c r="P9" s="64"/>
      <c r="Q9" s="93"/>
      <c r="R9" s="93"/>
    </row>
    <row r="10" spans="1:18" ht="22.8" customHeight="1" x14ac:dyDescent="0.3">
      <c r="A10" s="92"/>
      <c r="B10" s="94"/>
      <c r="C10" s="68" t="s">
        <v>45</v>
      </c>
      <c r="D10" s="64"/>
      <c r="E10" s="64"/>
      <c r="F10" s="64"/>
      <c r="G10" s="7"/>
      <c r="H10" s="7"/>
      <c r="I10" s="7"/>
      <c r="J10" s="7"/>
      <c r="K10" s="7"/>
      <c r="L10" s="7"/>
      <c r="M10" s="7"/>
      <c r="N10" s="7"/>
      <c r="O10" s="64"/>
      <c r="P10" s="64"/>
      <c r="Q10" s="93"/>
      <c r="R10" s="93"/>
    </row>
    <row r="11" spans="1:18" ht="19.8" customHeight="1" x14ac:dyDescent="0.3">
      <c r="A11" s="65"/>
      <c r="B11" s="74" t="s">
        <v>47</v>
      </c>
      <c r="C11" s="95" t="s">
        <v>9</v>
      </c>
      <c r="D11" s="61" t="s">
        <v>1</v>
      </c>
      <c r="E11" s="64"/>
      <c r="F11" s="64"/>
      <c r="G11" s="7"/>
      <c r="H11" s="7"/>
      <c r="I11" s="7"/>
      <c r="J11" s="7"/>
      <c r="K11" s="7"/>
      <c r="L11" s="7"/>
      <c r="M11" s="7"/>
      <c r="N11" s="7"/>
      <c r="O11" s="64"/>
      <c r="P11" s="64"/>
      <c r="Q11" s="93"/>
      <c r="R11" s="93"/>
    </row>
    <row r="12" spans="1:18" x14ac:dyDescent="0.3">
      <c r="A12" s="65"/>
      <c r="B12" s="97" t="str">
        <f>IF(Desplegables!I3="","-",Desplegables!I3)</f>
        <v>-</v>
      </c>
      <c r="C12" s="98" t="str">
        <f>IF(Desplegables!J3="","-",Desplegables!J3)</f>
        <v>-</v>
      </c>
      <c r="D12" s="99" t="str">
        <f>IF(Desplegables!K3="","-",Desplegables!K3)</f>
        <v>-</v>
      </c>
      <c r="E12" s="64"/>
      <c r="F12" s="64"/>
      <c r="G12" s="7"/>
      <c r="H12" s="7"/>
      <c r="I12" s="7"/>
      <c r="J12" s="7"/>
      <c r="K12" s="7"/>
      <c r="L12" s="7"/>
      <c r="M12" s="7"/>
      <c r="N12" s="7"/>
      <c r="O12" s="64"/>
      <c r="P12" s="64"/>
      <c r="Q12" s="93"/>
      <c r="R12" s="93"/>
    </row>
    <row r="13" spans="1:18" x14ac:dyDescent="0.3">
      <c r="A13" s="65"/>
      <c r="B13" s="97" t="str">
        <f>IF(Desplegables!I4="","-",Desplegables!I4)</f>
        <v>-</v>
      </c>
      <c r="C13" s="98" t="str">
        <f>IF(Desplegables!J4="","-",Desplegables!J4)</f>
        <v>-</v>
      </c>
      <c r="D13" s="99" t="str">
        <f>IF(Desplegables!K4="","-",Desplegables!K4)</f>
        <v>-</v>
      </c>
      <c r="E13" s="64"/>
      <c r="F13" s="64"/>
      <c r="G13" s="7"/>
      <c r="H13" s="7"/>
      <c r="I13" s="7"/>
      <c r="J13" s="7"/>
      <c r="K13" s="7"/>
      <c r="L13" s="7"/>
      <c r="M13" s="7"/>
      <c r="N13" s="7"/>
      <c r="O13" s="64"/>
      <c r="P13" s="64"/>
      <c r="Q13" s="93"/>
      <c r="R13" s="93"/>
    </row>
    <row r="14" spans="1:18" x14ac:dyDescent="0.3">
      <c r="A14" s="65"/>
      <c r="B14" s="97" t="str">
        <f>IF(Desplegables!I5="","-",Desplegables!I5)</f>
        <v>-</v>
      </c>
      <c r="C14" s="98" t="str">
        <f>IF(Desplegables!J5="","-",Desplegables!J5)</f>
        <v>-</v>
      </c>
      <c r="D14" s="99" t="str">
        <f>IF(Desplegables!K5="","-",Desplegables!K5)</f>
        <v>-</v>
      </c>
      <c r="E14" s="64"/>
      <c r="F14" s="64"/>
      <c r="G14" s="7"/>
      <c r="H14" s="7"/>
      <c r="I14" s="7"/>
      <c r="J14" s="7"/>
      <c r="K14" s="7"/>
      <c r="L14" s="7"/>
      <c r="M14" s="7"/>
      <c r="N14" s="7"/>
      <c r="O14" s="64"/>
      <c r="P14" s="64"/>
      <c r="Q14" s="93"/>
      <c r="R14" s="93"/>
    </row>
    <row r="15" spans="1:18" x14ac:dyDescent="0.3">
      <c r="A15" s="65"/>
      <c r="B15" s="97" t="str">
        <f>IF(Desplegables!I6="","-",Desplegables!I6)</f>
        <v>-</v>
      </c>
      <c r="C15" s="98" t="str">
        <f>IF(Desplegables!J6="","-",Desplegables!J6)</f>
        <v>-</v>
      </c>
      <c r="D15" s="99" t="str">
        <f>IF(Desplegables!K6="","-",Desplegables!K6)</f>
        <v>-</v>
      </c>
      <c r="E15" s="64"/>
      <c r="F15" s="64"/>
      <c r="G15" s="7"/>
      <c r="H15" s="7"/>
      <c r="I15" s="7"/>
      <c r="J15" s="7"/>
      <c r="K15" s="7"/>
      <c r="L15" s="7"/>
      <c r="M15" s="7"/>
      <c r="N15" s="7"/>
      <c r="O15" s="64"/>
      <c r="P15" s="64"/>
      <c r="Q15" s="93"/>
      <c r="R15" s="93"/>
    </row>
    <row r="16" spans="1:18" ht="15.6" customHeight="1" x14ac:dyDescent="0.45">
      <c r="A16" s="65"/>
      <c r="B16" s="97" t="str">
        <f>IF(Desplegables!I7="","-",Desplegables!I7)</f>
        <v>-</v>
      </c>
      <c r="C16" s="98" t="str">
        <f>IF(Desplegables!J7="","-",Desplegables!J7)</f>
        <v>-</v>
      </c>
      <c r="D16" s="99" t="str">
        <f>IF(Desplegables!K7="","-",Desplegables!K7)</f>
        <v>-</v>
      </c>
      <c r="E16" s="64"/>
      <c r="F16" s="64"/>
      <c r="G16" s="73"/>
      <c r="H16" s="120"/>
      <c r="I16" s="120"/>
      <c r="J16" s="7"/>
      <c r="K16" s="7"/>
      <c r="L16" s="148" t="s">
        <v>60</v>
      </c>
      <c r="M16" s="148"/>
      <c r="N16" s="122"/>
      <c r="O16" s="64"/>
      <c r="P16" s="64"/>
      <c r="Q16" s="93"/>
      <c r="R16" s="93"/>
    </row>
    <row r="17" spans="1:18" x14ac:dyDescent="0.3">
      <c r="A17" s="65"/>
      <c r="B17" s="64"/>
      <c r="C17" s="64"/>
      <c r="D17" s="64"/>
      <c r="E17" s="64"/>
      <c r="F17" s="64"/>
      <c r="G17" s="7"/>
      <c r="H17" s="7"/>
      <c r="I17" s="7"/>
      <c r="J17" s="7"/>
      <c r="K17" s="7"/>
      <c r="L17" s="7"/>
      <c r="M17" s="7"/>
      <c r="N17" s="7"/>
      <c r="O17" s="64"/>
      <c r="P17" s="64"/>
      <c r="Q17" s="93"/>
      <c r="R17" s="93"/>
    </row>
    <row r="18" spans="1:18" x14ac:dyDescent="0.3">
      <c r="A18" s="65"/>
      <c r="B18" s="64"/>
      <c r="C18" s="64"/>
      <c r="D18" s="64"/>
      <c r="E18" s="64"/>
      <c r="F18" s="64"/>
      <c r="G18" s="7"/>
      <c r="H18" s="7"/>
      <c r="I18" s="7"/>
      <c r="J18" s="7"/>
      <c r="K18" s="7"/>
      <c r="L18" s="7"/>
      <c r="M18" s="7"/>
      <c r="N18" s="7"/>
      <c r="O18" s="64"/>
      <c r="P18" s="64"/>
      <c r="Q18" s="93"/>
      <c r="R18" s="93"/>
    </row>
    <row r="19" spans="1:18" x14ac:dyDescent="0.3">
      <c r="A19" s="65"/>
      <c r="B19" s="64"/>
      <c r="C19" s="64"/>
      <c r="D19" s="64"/>
      <c r="E19" s="64"/>
      <c r="F19" s="64"/>
      <c r="G19" s="7"/>
      <c r="H19" s="7"/>
      <c r="I19" s="7"/>
      <c r="J19" s="7"/>
      <c r="K19" s="121"/>
      <c r="L19" s="7"/>
      <c r="M19" s="7"/>
      <c r="N19" s="7"/>
      <c r="O19" s="64"/>
      <c r="P19" s="64"/>
      <c r="Q19" s="93"/>
      <c r="R19" s="93"/>
    </row>
    <row r="20" spans="1:18" x14ac:dyDescent="0.3">
      <c r="A20" s="64"/>
      <c r="B20" s="64"/>
      <c r="C20" s="64"/>
      <c r="D20" s="64"/>
      <c r="E20" s="64"/>
      <c r="F20" s="64"/>
      <c r="G20" s="62"/>
      <c r="H20" s="93"/>
      <c r="I20" s="62"/>
      <c r="J20" s="62"/>
      <c r="K20" s="62"/>
      <c r="L20" s="62"/>
      <c r="M20" s="62"/>
      <c r="N20" s="62"/>
      <c r="O20" s="64"/>
      <c r="P20" s="64"/>
      <c r="Q20" s="93"/>
      <c r="R20" s="93"/>
    </row>
    <row r="21" spans="1:18" x14ac:dyDescent="0.3">
      <c r="A21" s="93"/>
      <c r="B21" s="93"/>
      <c r="C21" s="93"/>
      <c r="D21" s="93"/>
      <c r="E21" s="93"/>
      <c r="F21" s="64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</row>
    <row r="22" spans="1:18" x14ac:dyDescent="0.3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</row>
    <row r="23" spans="1:18" x14ac:dyDescent="0.3">
      <c r="A23" s="93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</row>
    <row r="24" spans="1:18" x14ac:dyDescent="0.3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</row>
    <row r="25" spans="1:18" x14ac:dyDescent="0.3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</row>
    <row r="26" spans="1:18" x14ac:dyDescent="0.3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</row>
    <row r="27" spans="1:18" x14ac:dyDescent="0.3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</row>
    <row r="28" spans="1:18" x14ac:dyDescent="0.3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</row>
    <row r="29" spans="1:18" x14ac:dyDescent="0.3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</row>
    <row r="30" spans="1:18" x14ac:dyDescent="0.3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</row>
    <row r="31" spans="1:18" x14ac:dyDescent="0.3">
      <c r="A31" s="93"/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</row>
    <row r="32" spans="1:18" x14ac:dyDescent="0.3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</row>
    <row r="33" spans="1:18" x14ac:dyDescent="0.3">
      <c r="A33" s="93"/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</row>
    <row r="34" spans="1:18" x14ac:dyDescent="0.3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</row>
    <row r="35" spans="1:18" x14ac:dyDescent="0.3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</row>
    <row r="36" spans="1:18" x14ac:dyDescent="0.3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</row>
    <row r="37" spans="1:18" x14ac:dyDescent="0.3">
      <c r="A37" s="93"/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</row>
    <row r="38" spans="1:18" x14ac:dyDescent="0.3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</row>
    <row r="39" spans="1:18" x14ac:dyDescent="0.3">
      <c r="A39" s="93"/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</row>
    <row r="40" spans="1:18" x14ac:dyDescent="0.3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</row>
    <row r="41" spans="1:18" x14ac:dyDescent="0.3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</row>
    <row r="42" spans="1:18" x14ac:dyDescent="0.3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</row>
    <row r="43" spans="1:18" x14ac:dyDescent="0.3">
      <c r="A43" s="93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</row>
    <row r="44" spans="1:18" x14ac:dyDescent="0.3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</row>
    <row r="45" spans="1:18" x14ac:dyDescent="0.3">
      <c r="A45" s="93"/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</row>
    <row r="46" spans="1:18" x14ac:dyDescent="0.3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</row>
    <row r="47" spans="1:18" x14ac:dyDescent="0.3">
      <c r="A47" s="93"/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</row>
    <row r="48" spans="1:18" x14ac:dyDescent="0.3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</row>
    <row r="49" spans="1:18" x14ac:dyDescent="0.3">
      <c r="A49" s="93"/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</row>
    <row r="50" spans="1:18" x14ac:dyDescent="0.3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</row>
    <row r="51" spans="1:18" x14ac:dyDescent="0.3">
      <c r="A51" s="93"/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</row>
    <row r="52" spans="1:18" x14ac:dyDescent="0.3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</row>
    <row r="53" spans="1:18" x14ac:dyDescent="0.3">
      <c r="A53" s="93"/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</row>
    <row r="54" spans="1:18" x14ac:dyDescent="0.3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</row>
    <row r="55" spans="1:18" x14ac:dyDescent="0.3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</row>
    <row r="56" spans="1:18" x14ac:dyDescent="0.3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</row>
    <row r="57" spans="1:18" x14ac:dyDescent="0.3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</row>
    <row r="58" spans="1:18" x14ac:dyDescent="0.3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</row>
    <row r="59" spans="1:18" x14ac:dyDescent="0.3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</row>
    <row r="60" spans="1:18" x14ac:dyDescent="0.3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</row>
    <row r="61" spans="1:18" x14ac:dyDescent="0.3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</row>
    <row r="62" spans="1:18" x14ac:dyDescent="0.3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</row>
    <row r="63" spans="1:18" x14ac:dyDescent="0.3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</row>
    <row r="64" spans="1:18" x14ac:dyDescent="0.3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</row>
    <row r="65" spans="1:18" x14ac:dyDescent="0.3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</row>
    <row r="66" spans="1:18" x14ac:dyDescent="0.3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</row>
    <row r="67" spans="1:18" x14ac:dyDescent="0.3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</row>
    <row r="68" spans="1:18" x14ac:dyDescent="0.3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</row>
    <row r="69" spans="1:18" x14ac:dyDescent="0.3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</row>
    <row r="70" spans="1:18" x14ac:dyDescent="0.3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</row>
    <row r="71" spans="1:18" x14ac:dyDescent="0.3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</row>
    <row r="72" spans="1:18" x14ac:dyDescent="0.3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</row>
  </sheetData>
  <mergeCells count="6">
    <mergeCell ref="L16:M16"/>
    <mergeCell ref="A3:B4"/>
    <mergeCell ref="C3:E4"/>
    <mergeCell ref="O2:P2"/>
    <mergeCell ref="O1:P1"/>
    <mergeCell ref="G1:H1"/>
  </mergeCells>
  <dataValidations count="2">
    <dataValidation type="list" allowBlank="1" showInputMessage="1" showErrorMessage="1" sqref="J1" xr:uid="{06C21154-E79B-45C3-8B36-096B17D9BA85}">
      <formula1>tipo</formula1>
    </dataValidation>
    <dataValidation type="list" allowBlank="1" showInputMessage="1" showErrorMessage="1" sqref="C8" xr:uid="{B386E14F-0CC0-4209-9E06-CE3AAAC5471B}">
      <formula1>desplcatgast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894E634-B091-4AD1-85EF-1C8B54B4B600}">
          <x14:formula1>
            <xm:f>Configuracion!$I$3:$I$12</xm:f>
          </x14:formula1>
          <xm:sqref>C7</xm:sqref>
        </x14:dataValidation>
        <x14:dataValidation type="list" allowBlank="1" showInputMessage="1" showErrorMessage="1" xr:uid="{D6259232-0899-4CC6-A5C2-C2BF4D051810}">
          <x14:formula1>
            <xm:f>Desplegables!$A$2:$A$63</xm:f>
          </x14:formula1>
          <xm:sqref>E8</xm:sqref>
        </x14:dataValidation>
        <x14:dataValidation type="list" allowBlank="1" showInputMessage="1" showErrorMessage="1" xr:uid="{45C8FD24-B993-4C98-98CC-1DDC4AD07C38}">
          <x14:formula1>
            <xm:f>Desplegables!$B$2:$B$13</xm:f>
          </x14:formula1>
          <xm:sqref>E1</xm:sqref>
        </x14:dataValidation>
        <x14:dataValidation type="list" allowBlank="1" showErrorMessage="1" promptTitle="Fecha" prompt="Fecha" xr:uid="{865DC23D-499A-472C-9CBC-0DBF256E5F11}">
          <x14:formula1>
            <xm:f>Desplegables!$A$2:$A$63</xm:f>
          </x14:formula1>
          <xm:sqref>E7</xm:sqref>
        </x14:dataValidation>
        <x14:dataValidation type="list" allowBlank="1" showInputMessage="1" showErrorMessage="1" xr:uid="{E3BAD02B-9A3F-447E-812B-5D4764E8755C}">
          <x14:formula1>
            <xm:f>Desplegables!$G$2:$G$4</xm:f>
          </x14:formula1>
          <xm:sqref>L1</xm:sqref>
        </x14:dataValidation>
        <x14:dataValidation type="list" allowBlank="1" showInputMessage="1" showErrorMessage="1" xr:uid="{1C651B1D-B636-4D99-81F4-42AFADED51FF}">
          <x14:formula1>
            <xm:f>Desplegables!$M$2:$M$11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1ACA-72D4-4BB1-B3CB-BEB01E4F5C90}">
  <sheetPr codeName="Hoja3"/>
  <dimension ref="A1:R77"/>
  <sheetViews>
    <sheetView workbookViewId="0">
      <selection activeCell="A56" sqref="A56"/>
    </sheetView>
  </sheetViews>
  <sheetFormatPr baseColWidth="10" defaultRowHeight="14.4" x14ac:dyDescent="0.3"/>
  <cols>
    <col min="1" max="1" width="19" style="162" customWidth="1"/>
    <col min="2" max="2" width="17.44140625" style="158" customWidth="1"/>
    <col min="3" max="3" width="14.21875" style="119" customWidth="1"/>
    <col min="4" max="4" width="21" style="159" customWidth="1"/>
    <col min="5" max="5" width="14.77734375" style="160" customWidth="1"/>
    <col min="6" max="6" width="18.33203125" style="164" customWidth="1"/>
    <col min="7" max="7" width="21.44140625" style="161" hidden="1" customWidth="1"/>
    <col min="8" max="18" width="11.5546875" style="38"/>
  </cols>
  <sheetData>
    <row r="1" spans="1:18" x14ac:dyDescent="0.3">
      <c r="A1" s="108" t="s">
        <v>3</v>
      </c>
      <c r="B1" s="46" t="s">
        <v>3</v>
      </c>
      <c r="C1" s="110" t="s">
        <v>3</v>
      </c>
      <c r="D1" s="102" t="s">
        <v>3</v>
      </c>
      <c r="E1" s="47" t="s">
        <v>3</v>
      </c>
      <c r="F1" s="48" t="s">
        <v>3</v>
      </c>
      <c r="G1" s="59"/>
      <c r="I1" s="39" t="s">
        <v>30</v>
      </c>
    </row>
    <row r="2" spans="1:18" s="107" customFormat="1" ht="18.600000000000001" customHeight="1" x14ac:dyDescent="0.25">
      <c r="A2" s="109" t="s">
        <v>1</v>
      </c>
      <c r="B2" s="103" t="s">
        <v>9</v>
      </c>
      <c r="C2" s="104" t="s">
        <v>0</v>
      </c>
      <c r="D2" s="104" t="s">
        <v>4</v>
      </c>
      <c r="E2" s="104" t="s">
        <v>6</v>
      </c>
      <c r="F2" s="105" t="s">
        <v>61</v>
      </c>
      <c r="G2" s="105" t="s">
        <v>20</v>
      </c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</row>
    <row r="3" spans="1:18" x14ac:dyDescent="0.3">
      <c r="A3" s="157"/>
      <c r="F3" s="160"/>
    </row>
    <row r="4" spans="1:18" x14ac:dyDescent="0.3">
      <c r="A4" s="157"/>
      <c r="F4" s="160"/>
    </row>
    <row r="5" spans="1:18" x14ac:dyDescent="0.3">
      <c r="A5" s="157"/>
      <c r="F5" s="160"/>
    </row>
    <row r="6" spans="1:18" x14ac:dyDescent="0.3">
      <c r="A6" s="157"/>
      <c r="F6" s="160"/>
    </row>
    <row r="7" spans="1:18" x14ac:dyDescent="0.3">
      <c r="A7" s="157"/>
      <c r="F7" s="160"/>
    </row>
    <row r="8" spans="1:18" x14ac:dyDescent="0.3">
      <c r="A8" s="157"/>
      <c r="F8" s="160"/>
    </row>
    <row r="9" spans="1:18" x14ac:dyDescent="0.3">
      <c r="A9" s="157"/>
      <c r="F9" s="160"/>
    </row>
    <row r="10" spans="1:18" x14ac:dyDescent="0.3">
      <c r="A10" s="157"/>
      <c r="F10" s="160"/>
    </row>
    <row r="11" spans="1:18" x14ac:dyDescent="0.3">
      <c r="A11" s="157"/>
      <c r="F11" s="160"/>
    </row>
    <row r="12" spans="1:18" x14ac:dyDescent="0.3">
      <c r="A12" s="157"/>
      <c r="F12" s="160"/>
    </row>
    <row r="13" spans="1:18" x14ac:dyDescent="0.3">
      <c r="A13" s="157"/>
      <c r="F13" s="160"/>
    </row>
    <row r="14" spans="1:18" x14ac:dyDescent="0.3">
      <c r="A14" s="157"/>
      <c r="F14" s="160"/>
    </row>
    <row r="15" spans="1:18" x14ac:dyDescent="0.3">
      <c r="A15" s="157"/>
      <c r="F15" s="160"/>
    </row>
    <row r="16" spans="1:18" x14ac:dyDescent="0.3">
      <c r="A16" s="157"/>
      <c r="F16" s="160"/>
    </row>
    <row r="17" spans="1:6" x14ac:dyDescent="0.3">
      <c r="A17" s="157"/>
      <c r="F17" s="160"/>
    </row>
    <row r="18" spans="1:6" x14ac:dyDescent="0.3">
      <c r="A18" s="157"/>
      <c r="F18" s="160"/>
    </row>
    <row r="19" spans="1:6" x14ac:dyDescent="0.3">
      <c r="A19" s="157"/>
      <c r="F19" s="160"/>
    </row>
    <row r="20" spans="1:6" x14ac:dyDescent="0.3">
      <c r="A20" s="157"/>
      <c r="F20" s="160"/>
    </row>
    <row r="21" spans="1:6" x14ac:dyDescent="0.3">
      <c r="A21" s="157"/>
      <c r="F21" s="160"/>
    </row>
    <row r="22" spans="1:6" x14ac:dyDescent="0.3">
      <c r="A22" s="157"/>
      <c r="F22" s="160"/>
    </row>
    <row r="23" spans="1:6" x14ac:dyDescent="0.3">
      <c r="A23" s="157"/>
      <c r="F23" s="160"/>
    </row>
    <row r="24" spans="1:6" x14ac:dyDescent="0.3">
      <c r="A24" s="157"/>
      <c r="F24" s="160"/>
    </row>
    <row r="25" spans="1:6" x14ac:dyDescent="0.3">
      <c r="A25" s="157"/>
      <c r="F25" s="160"/>
    </row>
    <row r="26" spans="1:6" x14ac:dyDescent="0.3">
      <c r="A26" s="157"/>
      <c r="F26" s="160"/>
    </row>
    <row r="27" spans="1:6" x14ac:dyDescent="0.3">
      <c r="A27" s="157"/>
      <c r="F27" s="160"/>
    </row>
    <row r="28" spans="1:6" x14ac:dyDescent="0.3">
      <c r="A28" s="157"/>
      <c r="F28" s="160"/>
    </row>
    <row r="29" spans="1:6" x14ac:dyDescent="0.3">
      <c r="A29" s="157"/>
      <c r="F29" s="160"/>
    </row>
    <row r="30" spans="1:6" x14ac:dyDescent="0.3">
      <c r="A30" s="157"/>
      <c r="F30" s="160"/>
    </row>
    <row r="31" spans="1:6" x14ac:dyDescent="0.3">
      <c r="A31" s="157"/>
      <c r="F31" s="160"/>
    </row>
    <row r="32" spans="1:6" x14ac:dyDescent="0.3">
      <c r="A32" s="157"/>
      <c r="F32" s="160"/>
    </row>
    <row r="33" spans="1:6" x14ac:dyDescent="0.3">
      <c r="A33" s="157"/>
      <c r="F33" s="160"/>
    </row>
    <row r="34" spans="1:6" x14ac:dyDescent="0.3">
      <c r="A34" s="157"/>
      <c r="F34" s="160"/>
    </row>
    <row r="35" spans="1:6" x14ac:dyDescent="0.3">
      <c r="A35" s="157"/>
      <c r="F35" s="160"/>
    </row>
    <row r="36" spans="1:6" x14ac:dyDescent="0.3">
      <c r="A36" s="157"/>
      <c r="F36" s="160"/>
    </row>
    <row r="37" spans="1:6" x14ac:dyDescent="0.3">
      <c r="A37" s="157"/>
      <c r="F37" s="160"/>
    </row>
    <row r="38" spans="1:6" x14ac:dyDescent="0.3">
      <c r="A38" s="157"/>
      <c r="F38" s="160"/>
    </row>
    <row r="39" spans="1:6" x14ac:dyDescent="0.3">
      <c r="A39" s="157"/>
      <c r="F39" s="160"/>
    </row>
    <row r="40" spans="1:6" x14ac:dyDescent="0.3">
      <c r="A40" s="157"/>
      <c r="F40" s="160"/>
    </row>
    <row r="41" spans="1:6" x14ac:dyDescent="0.3">
      <c r="A41" s="157"/>
      <c r="F41" s="160"/>
    </row>
    <row r="42" spans="1:6" x14ac:dyDescent="0.3">
      <c r="A42" s="157"/>
      <c r="F42" s="160"/>
    </row>
    <row r="43" spans="1:6" x14ac:dyDescent="0.3">
      <c r="A43" s="157"/>
      <c r="F43" s="160"/>
    </row>
    <row r="44" spans="1:6" x14ac:dyDescent="0.3">
      <c r="A44" s="157"/>
      <c r="F44" s="160"/>
    </row>
    <row r="45" spans="1:6" x14ac:dyDescent="0.3">
      <c r="A45" s="157"/>
      <c r="F45" s="160"/>
    </row>
    <row r="46" spans="1:6" x14ac:dyDescent="0.3">
      <c r="A46" s="157"/>
      <c r="F46" s="160"/>
    </row>
    <row r="47" spans="1:6" x14ac:dyDescent="0.3">
      <c r="A47" s="157"/>
      <c r="F47" s="160"/>
    </row>
    <row r="48" spans="1:6" x14ac:dyDescent="0.3">
      <c r="A48" s="157"/>
      <c r="F48" s="160"/>
    </row>
    <row r="49" spans="1:6" x14ac:dyDescent="0.3">
      <c r="A49" s="157"/>
      <c r="F49" s="160"/>
    </row>
    <row r="50" spans="1:6" x14ac:dyDescent="0.3">
      <c r="F50" s="160"/>
    </row>
    <row r="51" spans="1:6" x14ac:dyDescent="0.3">
      <c r="F51" s="160"/>
    </row>
    <row r="52" spans="1:6" x14ac:dyDescent="0.3">
      <c r="F52" s="160"/>
    </row>
    <row r="53" spans="1:6" x14ac:dyDescent="0.3">
      <c r="F53" s="160"/>
    </row>
    <row r="54" spans="1:6" x14ac:dyDescent="0.3">
      <c r="F54" s="160"/>
    </row>
    <row r="55" spans="1:6" x14ac:dyDescent="0.3">
      <c r="F55" s="160"/>
    </row>
    <row r="56" spans="1:6" x14ac:dyDescent="0.3">
      <c r="F56" s="160"/>
    </row>
    <row r="57" spans="1:6" x14ac:dyDescent="0.3">
      <c r="F57" s="160"/>
    </row>
    <row r="58" spans="1:6" x14ac:dyDescent="0.3">
      <c r="F58" s="160"/>
    </row>
    <row r="59" spans="1:6" x14ac:dyDescent="0.3">
      <c r="F59" s="160"/>
    </row>
    <row r="60" spans="1:6" x14ac:dyDescent="0.3">
      <c r="F60" s="160"/>
    </row>
    <row r="61" spans="1:6" x14ac:dyDescent="0.3">
      <c r="F61" s="160"/>
    </row>
    <row r="62" spans="1:6" x14ac:dyDescent="0.3">
      <c r="F62" s="160"/>
    </row>
    <row r="63" spans="1:6" x14ac:dyDescent="0.3">
      <c r="F63" s="160"/>
    </row>
    <row r="64" spans="1:6" x14ac:dyDescent="0.3">
      <c r="F64" s="160"/>
    </row>
    <row r="65" spans="6:6" x14ac:dyDescent="0.3">
      <c r="F65" s="160"/>
    </row>
    <row r="66" spans="6:6" x14ac:dyDescent="0.3">
      <c r="F66" s="163"/>
    </row>
    <row r="67" spans="6:6" x14ac:dyDescent="0.3">
      <c r="F67" s="163"/>
    </row>
    <row r="68" spans="6:6" x14ac:dyDescent="0.3">
      <c r="F68" s="163"/>
    </row>
    <row r="69" spans="6:6" x14ac:dyDescent="0.3">
      <c r="F69" s="163"/>
    </row>
    <row r="70" spans="6:6" x14ac:dyDescent="0.3">
      <c r="F70" s="163"/>
    </row>
    <row r="71" spans="6:6" x14ac:dyDescent="0.3">
      <c r="F71" s="163"/>
    </row>
    <row r="72" spans="6:6" x14ac:dyDescent="0.3">
      <c r="F72" s="163"/>
    </row>
    <row r="73" spans="6:6" x14ac:dyDescent="0.3">
      <c r="F73" s="163"/>
    </row>
    <row r="74" spans="6:6" x14ac:dyDescent="0.3">
      <c r="F74" s="163"/>
    </row>
    <row r="75" spans="6:6" x14ac:dyDescent="0.3">
      <c r="F75" s="163"/>
    </row>
    <row r="76" spans="6:6" x14ac:dyDescent="0.3">
      <c r="F76" s="163"/>
    </row>
    <row r="77" spans="6:6" x14ac:dyDescent="0.3">
      <c r="F77" s="163"/>
    </row>
  </sheetData>
  <sortState xmlns:xlrd2="http://schemas.microsoft.com/office/spreadsheetml/2017/richdata2" ref="A2:G3">
    <sortCondition ref="A2"/>
  </sortState>
  <phoneticPr fontId="1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D7D30-EFEB-431A-8F93-DB74F890BA9B}">
  <sheetPr codeName="Hoja4"/>
  <dimension ref="A1:R18"/>
  <sheetViews>
    <sheetView workbookViewId="0">
      <selection activeCell="F3" sqref="F3"/>
    </sheetView>
  </sheetViews>
  <sheetFormatPr baseColWidth="10" defaultRowHeight="14.4" x14ac:dyDescent="0.3"/>
  <cols>
    <col min="1" max="1" width="13.5546875" style="165" customWidth="1"/>
    <col min="2" max="2" width="11.5546875" style="166"/>
    <col min="3" max="3" width="11.5546875" style="167"/>
    <col min="4" max="4" width="12.88671875" style="167" customWidth="1"/>
    <col min="5" max="5" width="13" style="167" customWidth="1"/>
    <col min="6" max="6" width="13.21875" style="167" customWidth="1"/>
    <col min="7" max="7" width="18.6640625" style="168" hidden="1" customWidth="1"/>
    <col min="8" max="18" width="11.5546875" style="38"/>
  </cols>
  <sheetData>
    <row r="1" spans="1:14" x14ac:dyDescent="0.3">
      <c r="A1" s="57" t="s">
        <v>3</v>
      </c>
      <c r="B1" s="52" t="s">
        <v>3</v>
      </c>
      <c r="C1" s="52" t="s">
        <v>3</v>
      </c>
      <c r="D1" s="53" t="s">
        <v>3</v>
      </c>
      <c r="E1" s="53" t="s">
        <v>3</v>
      </c>
      <c r="F1" s="53" t="s">
        <v>3</v>
      </c>
      <c r="G1" s="58"/>
      <c r="I1" s="39" t="s">
        <v>30</v>
      </c>
      <c r="N1" s="40"/>
    </row>
    <row r="2" spans="1:14" ht="14.4" customHeight="1" x14ac:dyDescent="0.45">
      <c r="A2" s="60" t="s">
        <v>1</v>
      </c>
      <c r="B2" s="54" t="s">
        <v>9</v>
      </c>
      <c r="C2" s="54" t="s">
        <v>0</v>
      </c>
      <c r="D2" s="55" t="s">
        <v>4</v>
      </c>
      <c r="E2" s="54" t="s">
        <v>6</v>
      </c>
      <c r="F2" s="56" t="s">
        <v>61</v>
      </c>
      <c r="G2" s="56" t="s">
        <v>21</v>
      </c>
    </row>
    <row r="4" spans="1:14" x14ac:dyDescent="0.3">
      <c r="B4" s="169"/>
    </row>
    <row r="8" spans="1:14" x14ac:dyDescent="0.3">
      <c r="B8" s="169"/>
    </row>
    <row r="9" spans="1:14" x14ac:dyDescent="0.3">
      <c r="B9" s="169"/>
    </row>
    <row r="11" spans="1:14" x14ac:dyDescent="0.3">
      <c r="B11" s="169"/>
    </row>
    <row r="12" spans="1:14" x14ac:dyDescent="0.3">
      <c r="B12" s="169"/>
    </row>
    <row r="13" spans="1:14" x14ac:dyDescent="0.3">
      <c r="B13" s="169"/>
    </row>
    <row r="15" spans="1:14" x14ac:dyDescent="0.3">
      <c r="B15" s="169"/>
    </row>
    <row r="16" spans="1:14" x14ac:dyDescent="0.3">
      <c r="B16" s="169"/>
    </row>
    <row r="18" spans="2:6" x14ac:dyDescent="0.3">
      <c r="B18" s="169"/>
      <c r="F18" s="170"/>
    </row>
  </sheetData>
  <sortState xmlns:xlrd2="http://schemas.microsoft.com/office/spreadsheetml/2017/richdata2" ref="A2:G3">
    <sortCondition ref="A2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2BB8-23BA-409D-BE38-6B54C56BA058}">
  <sheetPr codeName="Hoja5"/>
  <dimension ref="A1:R26"/>
  <sheetViews>
    <sheetView workbookViewId="0">
      <selection activeCell="N10" sqref="N10"/>
    </sheetView>
  </sheetViews>
  <sheetFormatPr baseColWidth="10" defaultRowHeight="14.4" x14ac:dyDescent="0.3"/>
  <cols>
    <col min="1" max="1" width="14.33203125" style="5" customWidth="1"/>
    <col min="2" max="2" width="13" style="6" customWidth="1"/>
    <col min="3" max="3" width="12.77734375" style="5" customWidth="1"/>
    <col min="4" max="4" width="20.44140625" style="5" customWidth="1"/>
    <col min="5" max="6" width="12.21875" style="5" customWidth="1"/>
    <col min="7" max="7" width="7.33203125" style="5" customWidth="1"/>
    <col min="8" max="9" width="14" customWidth="1"/>
    <col min="11" max="11" width="13.77734375" customWidth="1"/>
    <col min="12" max="12" width="8.6640625" customWidth="1"/>
    <col min="13" max="13" width="11.5546875" style="123"/>
    <col min="16" max="16" width="14.109375" customWidth="1"/>
  </cols>
  <sheetData>
    <row r="1" spans="1:18" ht="28.2" customHeight="1" thickBot="1" x14ac:dyDescent="0.35">
      <c r="A1" s="35" t="s">
        <v>10</v>
      </c>
      <c r="B1" s="28"/>
      <c r="C1" s="16"/>
      <c r="D1" s="17"/>
      <c r="E1" s="83"/>
      <c r="F1" s="83"/>
      <c r="G1" s="84"/>
      <c r="H1" s="153" t="s">
        <v>5</v>
      </c>
      <c r="I1" s="154"/>
      <c r="J1" s="88"/>
      <c r="K1" s="155" t="s">
        <v>63</v>
      </c>
      <c r="L1" s="156"/>
      <c r="N1" s="39" t="s">
        <v>29</v>
      </c>
      <c r="O1" s="38"/>
      <c r="P1" s="38"/>
      <c r="Q1" s="38"/>
      <c r="R1" s="38"/>
    </row>
    <row r="2" spans="1:18" ht="19.8" customHeight="1" thickBot="1" x14ac:dyDescent="0.35">
      <c r="A2" s="21" t="s">
        <v>67</v>
      </c>
      <c r="B2" s="29" t="s">
        <v>9</v>
      </c>
      <c r="C2" s="22" t="s">
        <v>22</v>
      </c>
      <c r="D2" s="23" t="s">
        <v>23</v>
      </c>
      <c r="E2" s="85"/>
      <c r="F2" s="85"/>
      <c r="G2" s="84"/>
      <c r="H2" s="139" t="s">
        <v>26</v>
      </c>
      <c r="I2" s="140" t="s">
        <v>64</v>
      </c>
      <c r="J2" s="88"/>
      <c r="K2" s="128" t="s">
        <v>66</v>
      </c>
      <c r="L2" s="129"/>
      <c r="N2" s="38"/>
      <c r="O2" s="38"/>
      <c r="P2" s="38"/>
      <c r="Q2" s="38"/>
      <c r="R2" s="38"/>
    </row>
    <row r="3" spans="1:18" ht="19.8" customHeight="1" x14ac:dyDescent="0.3">
      <c r="A3" s="8"/>
      <c r="B3" s="143"/>
      <c r="C3" s="30"/>
      <c r="D3" s="9"/>
      <c r="E3" s="136"/>
      <c r="F3" s="136"/>
      <c r="G3" s="84"/>
      <c r="H3" s="137"/>
      <c r="I3" s="138"/>
      <c r="J3" s="88"/>
      <c r="K3" s="128" t="s">
        <v>65</v>
      </c>
      <c r="L3" s="129"/>
      <c r="N3" s="38"/>
      <c r="O3" s="38"/>
      <c r="P3" s="38"/>
      <c r="Q3" s="38"/>
      <c r="R3" s="38"/>
    </row>
    <row r="4" spans="1:18" ht="18" customHeight="1" x14ac:dyDescent="0.3">
      <c r="A4" s="10"/>
      <c r="B4" s="144"/>
      <c r="C4" s="18"/>
      <c r="D4" s="12"/>
      <c r="E4" s="91"/>
      <c r="F4" s="91"/>
      <c r="G4" s="84"/>
      <c r="H4" s="31"/>
      <c r="I4" s="32"/>
      <c r="J4" s="88"/>
      <c r="K4" s="128"/>
      <c r="L4" s="129"/>
      <c r="N4" s="38"/>
      <c r="O4" s="38"/>
      <c r="P4" s="38"/>
      <c r="Q4" s="38"/>
      <c r="R4" s="38"/>
    </row>
    <row r="5" spans="1:18" ht="17.399999999999999" customHeight="1" thickBot="1" x14ac:dyDescent="0.35">
      <c r="A5" s="10"/>
      <c r="B5" s="144"/>
      <c r="C5" s="18"/>
      <c r="D5" s="12"/>
      <c r="E5" s="84"/>
      <c r="F5" s="84"/>
      <c r="G5" s="84"/>
      <c r="H5" s="31"/>
      <c r="I5" s="32"/>
      <c r="J5" s="88"/>
      <c r="K5" s="130"/>
      <c r="L5" s="131"/>
      <c r="N5" s="38"/>
      <c r="O5" s="38"/>
      <c r="P5" s="38"/>
      <c r="Q5" s="38"/>
      <c r="R5" s="38"/>
    </row>
    <row r="6" spans="1:18" ht="17.399999999999999" customHeight="1" x14ac:dyDescent="0.3">
      <c r="A6" s="10"/>
      <c r="B6" s="145"/>
      <c r="C6" s="18"/>
      <c r="D6" s="12"/>
      <c r="E6" s="86"/>
      <c r="F6" s="86"/>
      <c r="G6" s="84"/>
      <c r="H6" s="31"/>
      <c r="I6" s="32"/>
      <c r="J6" s="88"/>
      <c r="K6" s="88"/>
      <c r="L6" s="88"/>
      <c r="N6" s="38"/>
      <c r="O6" s="38"/>
      <c r="P6" s="38"/>
      <c r="Q6" s="38"/>
      <c r="R6" s="38"/>
    </row>
    <row r="7" spans="1:18" ht="17.399999999999999" customHeight="1" x14ac:dyDescent="0.3">
      <c r="A7" s="10"/>
      <c r="B7" s="11"/>
      <c r="C7" s="18"/>
      <c r="D7" s="12"/>
      <c r="E7" s="86"/>
      <c r="F7" s="86"/>
      <c r="G7" s="84"/>
      <c r="H7" s="31"/>
      <c r="I7" s="32"/>
      <c r="J7" s="88"/>
      <c r="K7" s="88"/>
      <c r="L7" s="88"/>
      <c r="N7" s="38"/>
      <c r="O7" s="38"/>
      <c r="P7" s="38"/>
      <c r="Q7" s="38"/>
      <c r="R7" s="38"/>
    </row>
    <row r="8" spans="1:18" ht="17.399999999999999" customHeight="1" x14ac:dyDescent="0.3">
      <c r="A8" s="10"/>
      <c r="B8" s="11"/>
      <c r="C8" s="18"/>
      <c r="D8" s="12"/>
      <c r="E8" s="86"/>
      <c r="F8" s="86"/>
      <c r="G8" s="84"/>
      <c r="H8" s="31"/>
      <c r="I8" s="32"/>
      <c r="J8" s="88"/>
      <c r="K8" s="88"/>
      <c r="L8" s="88"/>
      <c r="N8" s="38"/>
      <c r="O8" s="38"/>
      <c r="P8" s="38"/>
      <c r="Q8" s="38"/>
      <c r="R8" s="38"/>
    </row>
    <row r="9" spans="1:18" ht="17.399999999999999" customHeight="1" x14ac:dyDescent="0.3">
      <c r="A9" s="10"/>
      <c r="B9" s="11"/>
      <c r="C9" s="18"/>
      <c r="D9" s="12"/>
      <c r="E9" s="86"/>
      <c r="F9" s="86"/>
      <c r="G9" s="84"/>
      <c r="H9" s="31"/>
      <c r="I9" s="32"/>
      <c r="J9" s="88"/>
      <c r="K9" s="88"/>
      <c r="L9" s="88"/>
      <c r="N9" s="38"/>
      <c r="O9" s="38"/>
      <c r="P9" s="38"/>
      <c r="Q9" s="38"/>
      <c r="R9" s="38"/>
    </row>
    <row r="10" spans="1:18" ht="17.399999999999999" customHeight="1" thickBot="1" x14ac:dyDescent="0.35">
      <c r="A10" s="10"/>
      <c r="B10" s="11"/>
      <c r="C10" s="18"/>
      <c r="D10" s="12"/>
      <c r="E10" s="86"/>
      <c r="F10" s="86"/>
      <c r="G10" s="84"/>
      <c r="H10" s="33"/>
      <c r="I10" s="34"/>
      <c r="J10" s="88"/>
      <c r="K10" s="88"/>
      <c r="L10" s="88"/>
      <c r="N10" s="38"/>
      <c r="O10" s="45"/>
      <c r="P10" s="38"/>
      <c r="Q10" s="38"/>
      <c r="R10" s="38"/>
    </row>
    <row r="11" spans="1:18" ht="17.399999999999999" customHeight="1" x14ac:dyDescent="0.3">
      <c r="A11" s="10"/>
      <c r="B11" s="11"/>
      <c r="C11" s="18"/>
      <c r="D11" s="12"/>
      <c r="E11" s="86"/>
      <c r="F11" s="86"/>
      <c r="G11" s="84"/>
      <c r="H11" s="135"/>
      <c r="I11" s="135"/>
      <c r="J11" s="88"/>
      <c r="K11" s="88"/>
      <c r="L11" s="88"/>
      <c r="N11" s="38"/>
      <c r="O11" s="45"/>
      <c r="P11" s="38"/>
      <c r="Q11" s="38"/>
      <c r="R11" s="38"/>
    </row>
    <row r="12" spans="1:18" ht="17.399999999999999" customHeight="1" thickBot="1" x14ac:dyDescent="0.35">
      <c r="A12" s="13"/>
      <c r="B12" s="14"/>
      <c r="C12" s="19"/>
      <c r="D12" s="15"/>
      <c r="E12" s="86"/>
      <c r="F12" s="86"/>
      <c r="G12" s="84"/>
      <c r="H12" s="135"/>
      <c r="I12" s="135"/>
      <c r="J12" s="88"/>
      <c r="K12" s="88"/>
      <c r="L12" s="88"/>
      <c r="N12" s="38"/>
      <c r="O12" s="38"/>
      <c r="P12" s="38"/>
      <c r="Q12" s="38"/>
      <c r="R12" s="38"/>
    </row>
    <row r="13" spans="1:18" ht="15" thickBot="1" x14ac:dyDescent="0.35">
      <c r="A13" s="24" t="s">
        <v>69</v>
      </c>
      <c r="B13" s="25"/>
      <c r="C13" s="26"/>
      <c r="D13" s="27"/>
      <c r="E13" s="87"/>
      <c r="F13" s="87"/>
      <c r="G13" s="84"/>
      <c r="H13" s="88"/>
      <c r="I13" s="88"/>
      <c r="J13" s="88"/>
      <c r="K13" s="88"/>
      <c r="L13" s="88"/>
      <c r="N13" s="38"/>
      <c r="O13" s="38"/>
      <c r="P13" s="38"/>
      <c r="Q13" s="38"/>
      <c r="R13" s="38"/>
    </row>
    <row r="14" spans="1:18" ht="19.2" customHeight="1" x14ac:dyDescent="0.3">
      <c r="A14" s="8"/>
      <c r="B14" s="146"/>
      <c r="C14" s="20"/>
      <c r="D14" s="9"/>
      <c r="E14" s="87"/>
      <c r="F14" s="87"/>
      <c r="G14" s="84"/>
      <c r="H14" s="88"/>
      <c r="I14" s="88"/>
      <c r="J14" s="88"/>
      <c r="K14" s="88"/>
      <c r="L14" s="88"/>
      <c r="N14" s="38"/>
      <c r="O14" s="38"/>
      <c r="P14" s="38"/>
      <c r="Q14" s="38"/>
      <c r="R14" s="38"/>
    </row>
    <row r="15" spans="1:18" ht="17.399999999999999" customHeight="1" x14ac:dyDescent="0.3">
      <c r="A15" s="10"/>
      <c r="B15" s="145"/>
      <c r="C15" s="18"/>
      <c r="D15" s="12"/>
      <c r="E15" s="87"/>
      <c r="F15" s="87"/>
      <c r="G15" s="84"/>
      <c r="H15" s="88"/>
      <c r="I15" s="88"/>
      <c r="J15" s="88"/>
      <c r="K15" s="88"/>
      <c r="L15" s="88"/>
      <c r="N15" s="38"/>
      <c r="O15" s="38"/>
      <c r="P15" s="38"/>
      <c r="Q15" s="38"/>
      <c r="R15" s="38"/>
    </row>
    <row r="16" spans="1:18" ht="17.399999999999999" customHeight="1" x14ac:dyDescent="0.3">
      <c r="A16" s="10"/>
      <c r="B16" s="11"/>
      <c r="C16" s="18"/>
      <c r="D16" s="12"/>
      <c r="E16" s="87"/>
      <c r="F16" s="87"/>
      <c r="G16" s="84"/>
      <c r="H16" s="88"/>
      <c r="I16" s="88"/>
      <c r="J16" s="88"/>
      <c r="K16" s="88"/>
      <c r="L16" s="88"/>
      <c r="N16" s="38"/>
      <c r="O16" s="38"/>
      <c r="P16" s="38"/>
      <c r="Q16" s="38"/>
      <c r="R16" s="38"/>
    </row>
    <row r="17" spans="1:18" ht="18.600000000000001" customHeight="1" x14ac:dyDescent="0.3">
      <c r="A17" s="10"/>
      <c r="B17" s="11"/>
      <c r="C17" s="18"/>
      <c r="D17" s="12"/>
      <c r="E17" s="87"/>
      <c r="F17" s="87"/>
      <c r="G17" s="84"/>
      <c r="H17" s="88"/>
      <c r="I17" s="88"/>
      <c r="J17" s="88"/>
      <c r="K17" s="88"/>
      <c r="L17" s="88"/>
      <c r="N17" s="38"/>
      <c r="O17" s="38"/>
      <c r="P17" s="38"/>
      <c r="Q17" s="38"/>
      <c r="R17" s="38"/>
    </row>
    <row r="18" spans="1:18" x14ac:dyDescent="0.3">
      <c r="A18" s="10"/>
      <c r="B18" s="11"/>
      <c r="C18" s="18"/>
      <c r="D18" s="12"/>
      <c r="E18" s="87"/>
      <c r="F18" s="87"/>
      <c r="G18" s="84"/>
      <c r="H18" s="88"/>
      <c r="I18" s="88"/>
      <c r="J18" s="88"/>
      <c r="K18" s="88"/>
      <c r="L18" s="88"/>
      <c r="N18" s="38"/>
      <c r="O18" s="38"/>
      <c r="P18" s="38"/>
      <c r="Q18" s="38"/>
      <c r="R18" s="38"/>
    </row>
    <row r="19" spans="1:18" ht="19.8" customHeight="1" x14ac:dyDescent="0.3">
      <c r="A19" s="10"/>
      <c r="B19" s="11"/>
      <c r="C19" s="18"/>
      <c r="D19" s="12"/>
      <c r="E19" s="87"/>
      <c r="F19" s="87"/>
      <c r="G19" s="84"/>
      <c r="H19" s="88"/>
      <c r="I19" s="88"/>
      <c r="J19" s="88"/>
      <c r="K19" s="88"/>
      <c r="L19" s="88"/>
      <c r="N19" s="38"/>
      <c r="O19" s="38"/>
      <c r="P19" s="38"/>
      <c r="Q19" s="38"/>
      <c r="R19" s="38"/>
    </row>
    <row r="20" spans="1:18" ht="16.2" customHeight="1" x14ac:dyDescent="0.3">
      <c r="A20" s="10"/>
      <c r="B20" s="11"/>
      <c r="C20" s="18"/>
      <c r="D20" s="12"/>
      <c r="E20" s="87"/>
      <c r="F20" s="87"/>
      <c r="G20" s="84"/>
      <c r="H20" s="88"/>
      <c r="I20" s="88"/>
      <c r="J20" s="88"/>
      <c r="K20" s="88"/>
      <c r="L20" s="88"/>
      <c r="N20" s="38"/>
      <c r="O20" s="38"/>
      <c r="P20" s="38"/>
      <c r="Q20" s="38"/>
      <c r="R20" s="38"/>
    </row>
    <row r="21" spans="1:18" x14ac:dyDescent="0.3">
      <c r="A21" s="10"/>
      <c r="B21" s="11"/>
      <c r="C21" s="18"/>
      <c r="D21" s="12"/>
      <c r="E21" s="87"/>
      <c r="F21" s="87"/>
      <c r="G21" s="84"/>
      <c r="H21" s="88"/>
      <c r="I21" s="88"/>
      <c r="J21" s="88"/>
      <c r="K21" s="88"/>
      <c r="L21" s="88"/>
      <c r="N21" s="38"/>
      <c r="O21" s="38"/>
      <c r="P21" s="38"/>
      <c r="Q21" s="38"/>
      <c r="R21" s="38"/>
    </row>
    <row r="22" spans="1:18" ht="17.399999999999999" customHeight="1" x14ac:dyDescent="0.3">
      <c r="A22" s="10"/>
      <c r="B22" s="11"/>
      <c r="C22" s="18"/>
      <c r="D22" s="12"/>
      <c r="E22" s="87"/>
      <c r="F22" s="87"/>
      <c r="G22" s="84"/>
      <c r="H22" s="88"/>
      <c r="I22" s="88"/>
      <c r="J22" s="88"/>
      <c r="K22" s="88"/>
      <c r="L22" s="88"/>
      <c r="N22" s="38"/>
      <c r="O22" s="38"/>
      <c r="P22" s="38"/>
      <c r="Q22" s="38"/>
      <c r="R22" s="38"/>
    </row>
    <row r="23" spans="1:18" ht="18.600000000000001" customHeight="1" thickBot="1" x14ac:dyDescent="0.35">
      <c r="A23" s="13"/>
      <c r="B23" s="14"/>
      <c r="C23" s="19"/>
      <c r="D23" s="15"/>
      <c r="E23" s="87"/>
      <c r="F23" s="87"/>
      <c r="G23" s="84"/>
      <c r="H23" s="88"/>
      <c r="I23" s="88"/>
      <c r="J23" s="88"/>
      <c r="K23" s="88"/>
      <c r="L23" s="88"/>
      <c r="N23" s="38"/>
      <c r="O23" s="38"/>
      <c r="P23" s="38"/>
      <c r="Q23" s="38"/>
      <c r="R23" s="38"/>
    </row>
    <row r="24" spans="1:18" x14ac:dyDescent="0.3">
      <c r="A24" s="89"/>
      <c r="B24" s="90"/>
      <c r="C24" s="89"/>
      <c r="D24" s="89"/>
      <c r="E24" s="84"/>
      <c r="F24" s="84"/>
      <c r="G24" s="84"/>
      <c r="H24" s="88"/>
      <c r="I24" s="88"/>
      <c r="J24" s="88"/>
      <c r="K24" s="88"/>
      <c r="L24" s="88"/>
      <c r="N24" s="38"/>
      <c r="O24" s="38"/>
      <c r="P24" s="38"/>
      <c r="Q24" s="38"/>
      <c r="R24" s="38"/>
    </row>
    <row r="25" spans="1:18" x14ac:dyDescent="0.3">
      <c r="A25" s="89"/>
      <c r="B25" s="90"/>
      <c r="C25" s="89"/>
      <c r="D25" s="89"/>
      <c r="E25" s="84"/>
      <c r="F25" s="84"/>
      <c r="G25" s="84"/>
      <c r="H25" s="88"/>
      <c r="I25" s="88"/>
      <c r="J25" s="88"/>
      <c r="K25" s="88"/>
      <c r="L25" s="88"/>
      <c r="N25" s="38"/>
      <c r="O25" s="38"/>
      <c r="P25" s="38"/>
      <c r="Q25" s="38"/>
      <c r="R25" s="38"/>
    </row>
    <row r="26" spans="1:18" x14ac:dyDescent="0.3">
      <c r="A26" s="89"/>
      <c r="B26" s="90"/>
      <c r="C26" s="89"/>
      <c r="D26" s="89"/>
      <c r="E26" s="89"/>
      <c r="F26" s="89"/>
      <c r="G26" s="89"/>
      <c r="H26" s="88"/>
      <c r="I26" s="88"/>
      <c r="J26" s="88"/>
      <c r="K26" s="88"/>
      <c r="L26" s="88"/>
      <c r="N26" s="38"/>
      <c r="O26" s="38"/>
      <c r="P26" s="38"/>
      <c r="Q26" s="38"/>
      <c r="R26" s="38"/>
    </row>
  </sheetData>
  <sortState xmlns:xlrd2="http://schemas.microsoft.com/office/spreadsheetml/2017/richdata2" ref="A3:I3">
    <sortCondition ref="A1"/>
  </sortState>
  <mergeCells count="2">
    <mergeCell ref="H1:I1"/>
    <mergeCell ref="K1:L1"/>
  </mergeCells>
  <dataValidations xWindow="95" yWindow="397" count="1">
    <dataValidation type="whole" allowBlank="1" showInputMessage="1" showErrorMessage="1" error="Debe ingresar un número entero entre 1 y 30" promptTitle="Ingrese" prompt="Día del mes de referencia_x000a_" sqref="E12:F12" xr:uid="{17D79021-6726-4DEC-B16C-554EAA1F5D29}">
      <formula1>1</formula1>
      <formula2>30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xWindow="95" yWindow="397" count="1">
        <x14:dataValidation type="list" allowBlank="1" showInputMessage="1" showErrorMessage="1" xr:uid="{679B25C7-9DE9-4631-8951-77807CB834D4}">
          <x14:formula1>
            <xm:f>Desplegables!$D$2:$D$3</xm:f>
          </x14:formula1>
          <xm:sqref>C3:C12 C14:C23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80EC9-167A-484C-B155-45A9C14E40A5}">
  <sheetPr codeName="Hoja6"/>
  <dimension ref="A1:P63"/>
  <sheetViews>
    <sheetView topLeftCell="G1" workbookViewId="0">
      <selection activeCell="H29" sqref="H29"/>
    </sheetView>
  </sheetViews>
  <sheetFormatPr baseColWidth="10" defaultRowHeight="14.4" x14ac:dyDescent="0.3"/>
  <cols>
    <col min="9" max="9" width="13.5546875" customWidth="1"/>
    <col min="11" max="11" width="11.5546875" style="1"/>
    <col min="13" max="13" width="11.5546875" style="4"/>
    <col min="14" max="14" width="16" customWidth="1"/>
  </cols>
  <sheetData>
    <row r="1" spans="1:16" ht="15" thickBot="1" x14ac:dyDescent="0.35">
      <c r="A1" s="124" t="s">
        <v>1</v>
      </c>
      <c r="B1" s="124" t="s">
        <v>8</v>
      </c>
      <c r="C1" s="147"/>
      <c r="D1" s="124" t="s">
        <v>18</v>
      </c>
      <c r="E1" s="124" t="s">
        <v>19</v>
      </c>
      <c r="F1" s="124" t="s">
        <v>36</v>
      </c>
      <c r="G1" s="124" t="s">
        <v>38</v>
      </c>
      <c r="H1" s="124"/>
      <c r="I1" s="124" t="s">
        <v>46</v>
      </c>
      <c r="J1" s="124"/>
      <c r="K1" s="124"/>
      <c r="L1" s="125" t="s">
        <v>48</v>
      </c>
      <c r="M1" s="126" t="s">
        <v>0</v>
      </c>
      <c r="N1" s="127" t="s">
        <v>59</v>
      </c>
    </row>
    <row r="2" spans="1:16" x14ac:dyDescent="0.3">
      <c r="A2" s="3"/>
      <c r="B2" s="4" t="str">
        <f ca="1">_xlfn.CONCAT(LEFT(CHOOSE(MONTH(EOMONTH(TODAY(),-1)+1),"Enero","Febrero","Marzo","Abril","Mayo","Junio","Julio","Agosto","Septiembre","Octubre","Noviembre","Diciembre"),3),"-",RIGHT(YEAR(EOMONTH(TODAY(),-1)+1),2))</f>
        <v>Sep-20</v>
      </c>
      <c r="D2" s="1" t="s">
        <v>14</v>
      </c>
      <c r="E2" t="s">
        <v>68</v>
      </c>
      <c r="F2" t="s">
        <v>37</v>
      </c>
      <c r="G2" t="s">
        <v>0</v>
      </c>
      <c r="I2" t="s">
        <v>47</v>
      </c>
      <c r="J2" t="s">
        <v>9</v>
      </c>
      <c r="K2" t="s">
        <v>1</v>
      </c>
      <c r="L2" s="132" t="s">
        <v>58</v>
      </c>
      <c r="M2" s="133" t="s">
        <v>16</v>
      </c>
      <c r="N2" s="134" t="s">
        <v>58</v>
      </c>
    </row>
    <row r="3" spans="1:16" x14ac:dyDescent="0.3">
      <c r="A3" s="2">
        <f ca="1">TODAY()</f>
        <v>44099</v>
      </c>
      <c r="B3" s="4" t="str">
        <f ca="1">_xlfn.CONCAT(LEFT(CHOOSE(MONTH(EOMONTH(TODAY(),-2)+1),"Enero","Febrero","Marzo","Abril","Mayo","Junio","Julio","Agosto","Septiembre","Octubre","Noviembre","Diciembre"),3),"-",RIGHT(YEAR(EOMONTH(TODAY(),-2)+1),2))</f>
        <v>Ago-20</v>
      </c>
      <c r="C3" t="str">
        <f>IFERROR(IF(C2-1&lt;2020,"",C2-1),"")</f>
        <v/>
      </c>
      <c r="D3" t="s">
        <v>12</v>
      </c>
      <c r="E3" t="s">
        <v>13</v>
      </c>
      <c r="F3" t="s">
        <v>39</v>
      </c>
      <c r="G3" t="s">
        <v>8</v>
      </c>
      <c r="J3" s="96"/>
      <c r="L3" s="113" t="s">
        <v>51</v>
      </c>
      <c r="M3" s="114"/>
      <c r="N3" s="115"/>
    </row>
    <row r="4" spans="1:16" x14ac:dyDescent="0.3">
      <c r="A4" s="1">
        <f ca="1">A3-1</f>
        <v>44098</v>
      </c>
      <c r="B4" s="4" t="str">
        <f ca="1">_xlfn.CONCAT(LEFT(CHOOSE(MONTH(EOMONTH(TODAY(),-3)+1),"Enero","Febrero","Marzo","Abril","Mayo","Junio","Julio","Agosto","Septiembre","Octubre","Noviembre","Diciembre"),3),"-",RIGHT(YEAR(EOMONTH(TODAY(),-3)+1),2))</f>
        <v>Jul-20</v>
      </c>
      <c r="C4" t="str">
        <f t="shared" ref="C4:C13" si="0">IFERROR(IF(C3-1&lt;2020,"",C3-1),"")</f>
        <v/>
      </c>
      <c r="F4" t="s">
        <v>41</v>
      </c>
      <c r="J4" s="96"/>
      <c r="L4" s="113" t="s">
        <v>57</v>
      </c>
      <c r="M4" s="114"/>
      <c r="N4" s="115"/>
    </row>
    <row r="5" spans="1:16" x14ac:dyDescent="0.3">
      <c r="A5" s="1">
        <f ca="1">A4-1</f>
        <v>44097</v>
      </c>
      <c r="B5" s="4" t="str">
        <f ca="1">_xlfn.CONCAT(LEFT(CHOOSE(MONTH(EOMONTH(TODAY(),-4)+1),"Enero","Febrero","Marzo","Abril","Mayo","Junio","Julio","Agosto","Septiembre","Octubre","Noviembre","Diciembre"),3),"-",RIGHT(YEAR(EOMONTH(TODAY(),-4)+1),2))</f>
        <v>Jun-20</v>
      </c>
      <c r="C5" t="str">
        <f t="shared" si="0"/>
        <v/>
      </c>
      <c r="F5" t="s">
        <v>42</v>
      </c>
      <c r="J5" s="96"/>
      <c r="L5" s="113" t="s">
        <v>53</v>
      </c>
      <c r="M5" s="114"/>
      <c r="N5" s="115"/>
      <c r="P5" s="111"/>
    </row>
    <row r="6" spans="1:16" x14ac:dyDescent="0.3">
      <c r="A6" s="1">
        <f t="shared" ref="A6:A63" ca="1" si="1">A5-1</f>
        <v>44096</v>
      </c>
      <c r="B6" s="4" t="str">
        <f ca="1">_xlfn.CONCAT(LEFT(CHOOSE(MONTH(EOMONTH(TODAY(),-5)+1),"Enero","Febrero","Marzo","Abril","Mayo","Junio","Julio","Agosto","Septiembre","Octubre","Noviembre","Diciembre"),3),"-",RIGHT(YEAR(EOMONTH(TODAY(),-5)+1),2))</f>
        <v>May-20</v>
      </c>
      <c r="C6" t="str">
        <f t="shared" si="0"/>
        <v/>
      </c>
      <c r="J6" s="96"/>
      <c r="L6" s="113" t="s">
        <v>54</v>
      </c>
      <c r="M6" s="114"/>
      <c r="N6" s="115"/>
    </row>
    <row r="7" spans="1:16" x14ac:dyDescent="0.3">
      <c r="A7" s="1">
        <f t="shared" ca="1" si="1"/>
        <v>44095</v>
      </c>
      <c r="B7" s="4" t="str">
        <f ca="1">_xlfn.CONCAT(LEFT(CHOOSE(MONTH(EOMONTH(TODAY(),-6)+1),"Enero","Febrero","Marzo","Abril","Mayo","Junio","Julio","Agosto","Septiembre","Octubre","Noviembre","Diciembre"),3),"-",RIGHT(YEAR(EOMONTH(TODAY(),-6)+1),2))</f>
        <v>Abr-20</v>
      </c>
      <c r="C7" t="str">
        <f t="shared" si="0"/>
        <v/>
      </c>
      <c r="J7" s="96"/>
      <c r="L7" s="113" t="s">
        <v>50</v>
      </c>
      <c r="M7" s="114"/>
      <c r="N7" s="115"/>
    </row>
    <row r="8" spans="1:16" x14ac:dyDescent="0.3">
      <c r="A8" s="1">
        <f t="shared" ca="1" si="1"/>
        <v>44094</v>
      </c>
      <c r="B8" s="4" t="str">
        <f ca="1">_xlfn.CONCAT(LEFT(CHOOSE(MONTH(EOMONTH(TODAY(),-7)+1),"Enero","Febrero","Marzo","Abril","Mayo","Junio","Julio","Agosto","Septiembre","Octubre","Noviembre","Diciembre"),3),"-",RIGHT(YEAR(EOMONTH(TODAY(),-7)+1),2))</f>
        <v>Mar-20</v>
      </c>
      <c r="C8" t="str">
        <f t="shared" si="0"/>
        <v/>
      </c>
      <c r="L8" s="113" t="s">
        <v>52</v>
      </c>
      <c r="M8" s="114"/>
      <c r="N8" s="115"/>
    </row>
    <row r="9" spans="1:16" x14ac:dyDescent="0.3">
      <c r="A9" s="1">
        <f t="shared" ca="1" si="1"/>
        <v>44093</v>
      </c>
      <c r="B9" s="4" t="str">
        <f ca="1">_xlfn.CONCAT(LEFT(CHOOSE(MONTH(EOMONTH(TODAY(),-8)+1),"Enero","Febrero","Marzo","Abril","Mayo","Junio","Julio","Agosto","Septiembre","Octubre","Noviembre","Diciembre"),3),"-",RIGHT(YEAR(EOMONTH(TODAY(),-8)+1),2))</f>
        <v>Feb-20</v>
      </c>
      <c r="C9" t="str">
        <f t="shared" si="0"/>
        <v/>
      </c>
      <c r="J9" s="96"/>
      <c r="L9" s="113" t="s">
        <v>49</v>
      </c>
      <c r="M9" s="114"/>
      <c r="N9" s="115"/>
    </row>
    <row r="10" spans="1:16" x14ac:dyDescent="0.3">
      <c r="A10" s="1">
        <f t="shared" ca="1" si="1"/>
        <v>44092</v>
      </c>
      <c r="B10" s="4" t="str">
        <f ca="1">_xlfn.CONCAT(LEFT(CHOOSE(MONTH(EOMONTH(TODAY(),-9)+1),"Enero","Febrero","Marzo","Abril","Mayo","Junio","Julio","Agosto","Septiembre","Octubre","Noviembre","Diciembre"),3),"-",RIGHT(YEAR(EOMONTH(TODAY(),-9)+1),2))</f>
        <v>Ene-20</v>
      </c>
      <c r="C10" t="str">
        <f t="shared" si="0"/>
        <v/>
      </c>
      <c r="J10" s="96"/>
      <c r="L10" s="113" t="s">
        <v>55</v>
      </c>
      <c r="M10" s="114"/>
      <c r="N10" s="115"/>
    </row>
    <row r="11" spans="1:16" ht="15" thickBot="1" x14ac:dyDescent="0.35">
      <c r="A11" s="1">
        <f t="shared" ca="1" si="1"/>
        <v>44091</v>
      </c>
      <c r="B11" s="4" t="str">
        <f ca="1">_xlfn.CONCAT(LEFT(CHOOSE(MONTH(EOMONTH(TODAY(),-10)+1),"Enero","Febrero","Marzo","Abril","Mayo","Junio","Julio","Agosto","Septiembre","Octubre","Noviembre","Diciembre"),3),"-",RIGHT(YEAR(EOMONTH(TODAY(),-10)+1),2))</f>
        <v>Dic-19</v>
      </c>
      <c r="C11" t="str">
        <f t="shared" si="0"/>
        <v/>
      </c>
      <c r="J11" s="96"/>
      <c r="L11" s="116" t="s">
        <v>56</v>
      </c>
      <c r="M11" s="117"/>
      <c r="N11" s="118"/>
    </row>
    <row r="12" spans="1:16" x14ac:dyDescent="0.3">
      <c r="A12" s="1">
        <f t="shared" ca="1" si="1"/>
        <v>44090</v>
      </c>
      <c r="B12" s="4" t="str">
        <f ca="1">_xlfn.CONCAT(LEFT(CHOOSE(MONTH(EOMONTH(TODAY(),-11)+1),"Enero","Febrero","Marzo","Abril","Mayo","Junio","Julio","Agosto","Septiembre","Octubre","Noviembre","Diciembre"),3),"-",RIGHT(YEAR(EOMONTH(TODAY(),-11)+1),2))</f>
        <v>Nov-19</v>
      </c>
      <c r="C12" t="str">
        <f t="shared" si="0"/>
        <v/>
      </c>
      <c r="J12" s="96"/>
      <c r="M12" s="112"/>
    </row>
    <row r="13" spans="1:16" x14ac:dyDescent="0.3">
      <c r="A13" s="1">
        <f t="shared" ca="1" si="1"/>
        <v>44089</v>
      </c>
      <c r="B13" s="4" t="str">
        <f ca="1">_xlfn.CONCAT(LEFT(CHOOSE(MONTH(EOMONTH(TODAY(),-12)+1),"Enero","Febrero","Marzo","Abril","Mayo","Junio","Julio","Agosto","Septiembre","Octubre","Noviembre","Diciembre"),3),"-",RIGHT(YEAR(EOMONTH(TODAY(),-12)+1),2))</f>
        <v>Oct-19</v>
      </c>
      <c r="C13" t="str">
        <f t="shared" si="0"/>
        <v/>
      </c>
      <c r="M13" s="112"/>
    </row>
    <row r="14" spans="1:16" x14ac:dyDescent="0.3">
      <c r="A14" s="1">
        <f t="shared" ca="1" si="1"/>
        <v>44088</v>
      </c>
      <c r="C14" t="str">
        <f>IFERROR(C13-1,"")</f>
        <v/>
      </c>
    </row>
    <row r="15" spans="1:16" x14ac:dyDescent="0.3">
      <c r="A15" s="1">
        <f t="shared" ca="1" si="1"/>
        <v>44087</v>
      </c>
      <c r="C15" t="str">
        <f>IFERROR(C14-1,"")</f>
        <v/>
      </c>
    </row>
    <row r="16" spans="1:16" x14ac:dyDescent="0.3">
      <c r="A16" s="1">
        <f t="shared" ca="1" si="1"/>
        <v>44086</v>
      </c>
      <c r="C16" t="str">
        <f>IFERROR(C15-1,"")</f>
        <v/>
      </c>
    </row>
    <row r="17" spans="1:1" x14ac:dyDescent="0.3">
      <c r="A17" s="1">
        <f t="shared" ca="1" si="1"/>
        <v>44085</v>
      </c>
    </row>
    <row r="18" spans="1:1" x14ac:dyDescent="0.3">
      <c r="A18" s="1">
        <f t="shared" ca="1" si="1"/>
        <v>44084</v>
      </c>
    </row>
    <row r="19" spans="1:1" x14ac:dyDescent="0.3">
      <c r="A19" s="1">
        <f t="shared" ca="1" si="1"/>
        <v>44083</v>
      </c>
    </row>
    <row r="20" spans="1:1" x14ac:dyDescent="0.3">
      <c r="A20" s="1">
        <f t="shared" ca="1" si="1"/>
        <v>44082</v>
      </c>
    </row>
    <row r="21" spans="1:1" x14ac:dyDescent="0.3">
      <c r="A21" s="1">
        <f t="shared" ca="1" si="1"/>
        <v>44081</v>
      </c>
    </row>
    <row r="22" spans="1:1" x14ac:dyDescent="0.3">
      <c r="A22" s="1">
        <f t="shared" ca="1" si="1"/>
        <v>44080</v>
      </c>
    </row>
    <row r="23" spans="1:1" x14ac:dyDescent="0.3">
      <c r="A23" s="1">
        <f t="shared" ca="1" si="1"/>
        <v>44079</v>
      </c>
    </row>
    <row r="24" spans="1:1" x14ac:dyDescent="0.3">
      <c r="A24" s="1">
        <f t="shared" ca="1" si="1"/>
        <v>44078</v>
      </c>
    </row>
    <row r="25" spans="1:1" x14ac:dyDescent="0.3">
      <c r="A25" s="1">
        <f t="shared" ca="1" si="1"/>
        <v>44077</v>
      </c>
    </row>
    <row r="26" spans="1:1" x14ac:dyDescent="0.3">
      <c r="A26" s="1">
        <f t="shared" ca="1" si="1"/>
        <v>44076</v>
      </c>
    </row>
    <row r="27" spans="1:1" x14ac:dyDescent="0.3">
      <c r="A27" s="1">
        <f t="shared" ca="1" si="1"/>
        <v>44075</v>
      </c>
    </row>
    <row r="28" spans="1:1" x14ac:dyDescent="0.3">
      <c r="A28" s="1">
        <f t="shared" ca="1" si="1"/>
        <v>44074</v>
      </c>
    </row>
    <row r="29" spans="1:1" x14ac:dyDescent="0.3">
      <c r="A29" s="1">
        <f t="shared" ca="1" si="1"/>
        <v>44073</v>
      </c>
    </row>
    <row r="30" spans="1:1" x14ac:dyDescent="0.3">
      <c r="A30" s="1">
        <f t="shared" ca="1" si="1"/>
        <v>44072</v>
      </c>
    </row>
    <row r="31" spans="1:1" x14ac:dyDescent="0.3">
      <c r="A31" s="1">
        <f t="shared" ca="1" si="1"/>
        <v>44071</v>
      </c>
    </row>
    <row r="32" spans="1:1" x14ac:dyDescent="0.3">
      <c r="A32" s="1">
        <f t="shared" ca="1" si="1"/>
        <v>44070</v>
      </c>
    </row>
    <row r="33" spans="1:1" x14ac:dyDescent="0.3">
      <c r="A33" s="1">
        <f t="shared" ca="1" si="1"/>
        <v>44069</v>
      </c>
    </row>
    <row r="34" spans="1:1" x14ac:dyDescent="0.3">
      <c r="A34" s="1">
        <f t="shared" ca="1" si="1"/>
        <v>44068</v>
      </c>
    </row>
    <row r="35" spans="1:1" x14ac:dyDescent="0.3">
      <c r="A35" s="1">
        <f t="shared" ca="1" si="1"/>
        <v>44067</v>
      </c>
    </row>
    <row r="36" spans="1:1" x14ac:dyDescent="0.3">
      <c r="A36" s="1">
        <f t="shared" ca="1" si="1"/>
        <v>44066</v>
      </c>
    </row>
    <row r="37" spans="1:1" x14ac:dyDescent="0.3">
      <c r="A37" s="1">
        <f t="shared" ca="1" si="1"/>
        <v>44065</v>
      </c>
    </row>
    <row r="38" spans="1:1" x14ac:dyDescent="0.3">
      <c r="A38" s="1">
        <f t="shared" ca="1" si="1"/>
        <v>44064</v>
      </c>
    </row>
    <row r="39" spans="1:1" x14ac:dyDescent="0.3">
      <c r="A39" s="1">
        <f t="shared" ca="1" si="1"/>
        <v>44063</v>
      </c>
    </row>
    <row r="40" spans="1:1" x14ac:dyDescent="0.3">
      <c r="A40" s="1">
        <f t="shared" ca="1" si="1"/>
        <v>44062</v>
      </c>
    </row>
    <row r="41" spans="1:1" x14ac:dyDescent="0.3">
      <c r="A41" s="1">
        <f t="shared" ca="1" si="1"/>
        <v>44061</v>
      </c>
    </row>
    <row r="42" spans="1:1" x14ac:dyDescent="0.3">
      <c r="A42" s="1">
        <f t="shared" ca="1" si="1"/>
        <v>44060</v>
      </c>
    </row>
    <row r="43" spans="1:1" x14ac:dyDescent="0.3">
      <c r="A43" s="1">
        <f t="shared" ca="1" si="1"/>
        <v>44059</v>
      </c>
    </row>
    <row r="44" spans="1:1" x14ac:dyDescent="0.3">
      <c r="A44" s="1">
        <f t="shared" ca="1" si="1"/>
        <v>44058</v>
      </c>
    </row>
    <row r="45" spans="1:1" x14ac:dyDescent="0.3">
      <c r="A45" s="1">
        <f t="shared" ca="1" si="1"/>
        <v>44057</v>
      </c>
    </row>
    <row r="46" spans="1:1" x14ac:dyDescent="0.3">
      <c r="A46" s="1">
        <f t="shared" ca="1" si="1"/>
        <v>44056</v>
      </c>
    </row>
    <row r="47" spans="1:1" x14ac:dyDescent="0.3">
      <c r="A47" s="1">
        <f t="shared" ca="1" si="1"/>
        <v>44055</v>
      </c>
    </row>
    <row r="48" spans="1:1" x14ac:dyDescent="0.3">
      <c r="A48" s="1">
        <f t="shared" ca="1" si="1"/>
        <v>44054</v>
      </c>
    </row>
    <row r="49" spans="1:1" x14ac:dyDescent="0.3">
      <c r="A49" s="1">
        <f t="shared" ca="1" si="1"/>
        <v>44053</v>
      </c>
    </row>
    <row r="50" spans="1:1" x14ac:dyDescent="0.3">
      <c r="A50" s="1">
        <f t="shared" ca="1" si="1"/>
        <v>44052</v>
      </c>
    </row>
    <row r="51" spans="1:1" x14ac:dyDescent="0.3">
      <c r="A51" s="1">
        <f t="shared" ca="1" si="1"/>
        <v>44051</v>
      </c>
    </row>
    <row r="52" spans="1:1" x14ac:dyDescent="0.3">
      <c r="A52" s="1">
        <f t="shared" ca="1" si="1"/>
        <v>44050</v>
      </c>
    </row>
    <row r="53" spans="1:1" x14ac:dyDescent="0.3">
      <c r="A53" s="1">
        <f t="shared" ca="1" si="1"/>
        <v>44049</v>
      </c>
    </row>
    <row r="54" spans="1:1" x14ac:dyDescent="0.3">
      <c r="A54" s="1">
        <f t="shared" ca="1" si="1"/>
        <v>44048</v>
      </c>
    </row>
    <row r="55" spans="1:1" x14ac:dyDescent="0.3">
      <c r="A55" s="1">
        <f t="shared" ca="1" si="1"/>
        <v>44047</v>
      </c>
    </row>
    <row r="56" spans="1:1" x14ac:dyDescent="0.3">
      <c r="A56" s="1">
        <f t="shared" ca="1" si="1"/>
        <v>44046</v>
      </c>
    </row>
    <row r="57" spans="1:1" x14ac:dyDescent="0.3">
      <c r="A57" s="1">
        <f t="shared" ca="1" si="1"/>
        <v>44045</v>
      </c>
    </row>
    <row r="58" spans="1:1" x14ac:dyDescent="0.3">
      <c r="A58" s="1">
        <f t="shared" ca="1" si="1"/>
        <v>44044</v>
      </c>
    </row>
    <row r="59" spans="1:1" x14ac:dyDescent="0.3">
      <c r="A59" s="1">
        <f t="shared" ca="1" si="1"/>
        <v>44043</v>
      </c>
    </row>
    <row r="60" spans="1:1" x14ac:dyDescent="0.3">
      <c r="A60" s="1">
        <f t="shared" ca="1" si="1"/>
        <v>44042</v>
      </c>
    </row>
    <row r="61" spans="1:1" x14ac:dyDescent="0.3">
      <c r="A61" s="1">
        <f t="shared" ca="1" si="1"/>
        <v>44041</v>
      </c>
    </row>
    <row r="62" spans="1:1" x14ac:dyDescent="0.3">
      <c r="A62" s="1">
        <f t="shared" ca="1" si="1"/>
        <v>44040</v>
      </c>
    </row>
    <row r="63" spans="1:1" x14ac:dyDescent="0.3">
      <c r="A63" s="1">
        <f t="shared" ca="1" si="1"/>
        <v>44039</v>
      </c>
    </row>
  </sheetData>
  <sortState xmlns:xlrd2="http://schemas.microsoft.com/office/spreadsheetml/2017/richdata2" ref="I3:K12">
    <sortCondition descending="1" ref="K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DCF3-ED84-4032-A61F-CFA7C9DA2652}">
  <sheetPr codeName="Hoja2"/>
  <dimension ref="A1:E5"/>
  <sheetViews>
    <sheetView workbookViewId="0">
      <selection activeCell="C11" sqref="C11"/>
    </sheetView>
  </sheetViews>
  <sheetFormatPr baseColWidth="10" defaultRowHeight="14.4" x14ac:dyDescent="0.3"/>
  <cols>
    <col min="1" max="1" width="16.5546875" bestFit="1" customWidth="1"/>
    <col min="2" max="2" width="15.5546875" bestFit="1" customWidth="1"/>
    <col min="4" max="4" width="16.5546875" bestFit="1" customWidth="1"/>
    <col min="5" max="5" width="15.5546875" bestFit="1" customWidth="1"/>
  </cols>
  <sheetData>
    <row r="1" spans="1:5" x14ac:dyDescent="0.3">
      <c r="A1" s="49" t="s">
        <v>0</v>
      </c>
      <c r="B1" t="s">
        <v>70</v>
      </c>
      <c r="D1" s="49" t="s">
        <v>33</v>
      </c>
      <c r="E1" t="s">
        <v>32</v>
      </c>
    </row>
    <row r="2" spans="1:5" x14ac:dyDescent="0.3">
      <c r="D2" s="50" t="s">
        <v>17</v>
      </c>
      <c r="E2" s="4">
        <v>34528</v>
      </c>
    </row>
    <row r="3" spans="1:5" x14ac:dyDescent="0.3">
      <c r="A3" s="49" t="s">
        <v>33</v>
      </c>
      <c r="B3" t="s">
        <v>32</v>
      </c>
      <c r="D3" s="50" t="s">
        <v>43</v>
      </c>
      <c r="E3" s="4">
        <v>39000</v>
      </c>
    </row>
    <row r="4" spans="1:5" x14ac:dyDescent="0.3">
      <c r="A4" s="50" t="s">
        <v>70</v>
      </c>
      <c r="B4" s="4"/>
      <c r="D4" s="50" t="s">
        <v>44</v>
      </c>
      <c r="E4" s="4">
        <v>300</v>
      </c>
    </row>
    <row r="5" spans="1:5" x14ac:dyDescent="0.3">
      <c r="A5" s="50" t="s">
        <v>34</v>
      </c>
      <c r="B5" s="4"/>
      <c r="D5" s="50" t="s">
        <v>34</v>
      </c>
      <c r="E5" s="4">
        <v>73828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11</vt:i4>
      </vt:variant>
    </vt:vector>
  </HeadingPairs>
  <TitlesOfParts>
    <vt:vector size="17" baseType="lpstr">
      <vt:lpstr>Fin</vt:lpstr>
      <vt:lpstr>Gastos</vt:lpstr>
      <vt:lpstr>Ingresos</vt:lpstr>
      <vt:lpstr>Configuracion</vt:lpstr>
      <vt:lpstr>Desplegables</vt:lpstr>
      <vt:lpstr>Gráficos</vt:lpstr>
      <vt:lpstr>catgastos</vt:lpstr>
      <vt:lpstr>color</vt:lpstr>
      <vt:lpstr>desplcatgast</vt:lpstr>
      <vt:lpstr>desplcol</vt:lpstr>
      <vt:lpstr>desplcolasign</vt:lpstr>
      <vt:lpstr>fijogasto</vt:lpstr>
      <vt:lpstr>fijoingre</vt:lpstr>
      <vt:lpstr>Table</vt:lpstr>
      <vt:lpstr>Temp</vt:lpstr>
      <vt:lpstr>Temporalidad</vt:lpstr>
      <vt:lpstr>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Orlando</dc:creator>
  <cp:lastModifiedBy>Orlando</cp:lastModifiedBy>
  <dcterms:created xsi:type="dcterms:W3CDTF">2020-05-12T01:32:13Z</dcterms:created>
  <dcterms:modified xsi:type="dcterms:W3CDTF">2020-09-25T16:34:44Z</dcterms:modified>
</cp:coreProperties>
</file>